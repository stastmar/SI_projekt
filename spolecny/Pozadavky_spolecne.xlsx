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kční požadavky" sheetId="1" state="visible" r:id="rId3"/>
    <sheet name="Nefunkční požadavky" sheetId="2" state="visible" r:id="rId4"/>
    <sheet name="Mimo rozsah (Won't)" sheetId="3" state="visible" r:id="rId5"/>
    <sheet name="Přehled" sheetId="4" state="visible" r:id="rId6"/>
  </sheets>
  <definedNames>
    <definedName function="false" hidden="true" localSheetId="0" name="_xlnm._FilterDatabase" vbProcedure="false">'Funkční požadavky'!$A$4:$J$50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<sst xmlns="http://schemas.openxmlformats.org/spreadsheetml/2006/main" count="572" uniqueCount="233">
  <si>
    <t xml:space="preserve">Společná tabulka požadavků – telemedicínský systém (hypertenze, 18–40 let)</t>
  </si>
  <si>
    <t xml:space="preserve">Legenda: Původ „Převzato“ = z podkladů dané role; „Navrženo při spojení“ = doplněno při slučování, vlastník bloku potvrdí nebo upraví. Žlutá pole (Stav, Poznámka) vyplňuje vlastník bloku. Priorita MoSCoW: Must = nutné, Should = důležité, Could = pokud zbude čas, Won't = mimo rozsah.</t>
  </si>
  <si>
    <t xml:space="preserve">ID</t>
  </si>
  <si>
    <t xml:space="preserve">Původní ID</t>
  </si>
  <si>
    <t xml:space="preserve">Blok</t>
  </si>
  <si>
    <t xml:space="preserve">Požadavek</t>
  </si>
  <si>
    <t xml:space="preserve">Uživatel</t>
  </si>
  <si>
    <t xml:space="preserve">Priorita</t>
  </si>
  <si>
    <t xml:space="preserve">Use case / diagram</t>
  </si>
  <si>
    <t xml:space="preserve">Původ</t>
  </si>
  <si>
    <t xml:space="preserve">Stav</t>
  </si>
  <si>
    <t xml:space="preserve">Poznámka</t>
  </si>
  <si>
    <t xml:space="preserve">FP-A01</t>
  </si>
  <si>
    <t xml:space="preserve">M-F01</t>
  </si>
  <si>
    <t xml:space="preserve">Aplikace (role 1)</t>
  </si>
  <si>
    <t xml:space="preserve">Pacient se přihlásí do aplikace.</t>
  </si>
  <si>
    <t xml:space="preserve">Pacient</t>
  </si>
  <si>
    <t xml:space="preserve">Must</t>
  </si>
  <si>
    <t xml:space="preserve">UC aplikace: Přihlášení</t>
  </si>
  <si>
    <t xml:space="preserve">Převzato</t>
  </si>
  <si>
    <t xml:space="preserve">Navrženo</t>
  </si>
  <si>
    <t xml:space="preserve">FP-A02</t>
  </si>
  <si>
    <t xml:space="preserve">M-F02</t>
  </si>
  <si>
    <t xml:space="preserve">Pacient uloží krevní tlak, puls a čas měření.</t>
  </si>
  <si>
    <t xml:space="preserve">UC aplikace: Zadat tlak ručně</t>
  </si>
  <si>
    <t xml:space="preserve">FP-A03</t>
  </si>
  <si>
    <t xml:space="preserve">M-F08</t>
  </si>
  <si>
    <t xml:space="preserve">Aplikace vyhledá a spáruje tlakoměr přes Bluetooth.</t>
  </si>
  <si>
    <t xml:space="preserve">Pacient, tlakoměr</t>
  </si>
  <si>
    <t xml:space="preserve">UC aplikace: Spárovat senzor; SD připojení BLE</t>
  </si>
  <si>
    <t xml:space="preserve">FP-A04</t>
  </si>
  <si>
    <t xml:space="preserve">M-F09</t>
  </si>
  <si>
    <t xml:space="preserve">Aplikace načte hodnoty ze spárovaného tlakoměru.</t>
  </si>
  <si>
    <t xml:space="preserve">Tlakoměr</t>
  </si>
  <si>
    <t xml:space="preserve">UC aplikace: Převzít měření</t>
  </si>
  <si>
    <t xml:space="preserve">FP-A05</t>
  </si>
  <si>
    <t xml:space="preserve">M-F06</t>
  </si>
  <si>
    <t xml:space="preserve">Záznamy fungují offline a po připojení se synchronizují.</t>
  </si>
  <si>
    <t xml:space="preserve">SD měření a synchronizace</t>
  </si>
  <si>
    <t xml:space="preserve">FP-A06</t>
  </si>
  <si>
    <t xml:space="preserve">M-F07</t>
  </si>
  <si>
    <t xml:space="preserve">Aplikace zobrazuje stav odeslání a chyby.</t>
  </si>
  <si>
    <t xml:space="preserve">FP-A07</t>
  </si>
  <si>
    <t xml:space="preserve">M-F04</t>
  </si>
  <si>
    <t xml:space="preserve">Pacient zaznamená sůl a energetické nápoje (rychlý záznam).</t>
  </si>
  <si>
    <t xml:space="preserve">UC aplikace: Zapsat sůl a nápoje</t>
  </si>
  <si>
    <t xml:space="preserve">FP-A08</t>
  </si>
  <si>
    <t xml:space="preserve">M-F03</t>
  </si>
  <si>
    <t xml:space="preserve">Pacient vidí historii a graf měření.</t>
  </si>
  <si>
    <t xml:space="preserve">UC aplikace: Zobrazit historii</t>
  </si>
  <si>
    <t xml:space="preserve">FP-A09</t>
  </si>
  <si>
    <t xml:space="preserve">M-F10</t>
  </si>
  <si>
    <t xml:space="preserve">Pacient může zobrazit detail záznamu.</t>
  </si>
  <si>
    <t xml:space="preserve">Should</t>
  </si>
  <si>
    <t xml:space="preserve">FP-A10</t>
  </si>
  <si>
    <t xml:space="preserve">M-F05</t>
  </si>
  <si>
    <t xml:space="preserve">Pacient eviduje fyzickou aktivitu (kroky, aktivní minuty).</t>
  </si>
  <si>
    <t xml:space="preserve">UC aplikace: Zaznamenat aktivitu</t>
  </si>
  <si>
    <t xml:space="preserve">FP-A11</t>
  </si>
  <si>
    <t xml:space="preserve">—</t>
  </si>
  <si>
    <t xml:space="preserve">Pacient čte doporučení lékaře a dostane upozornění na nové doporučení.</t>
  </si>
  <si>
    <t xml:space="preserve">CHYBÍ v UC aplikace (počítá s ním portál FP-P10 a API)</t>
  </si>
  <si>
    <t xml:space="preserve">Navrženo při spojení</t>
  </si>
  <si>
    <t xml:space="preserve">FP-A12</t>
  </si>
  <si>
    <t xml:space="preserve">Aplikace provede pacienta měřením (klid, nasazení manžety, 2 měření po sobě – ESH).</t>
  </si>
  <si>
    <t xml:space="preserve">CHYBÍ v UC aplikace</t>
  </si>
  <si>
    <t xml:space="preserve">FP-A13</t>
  </si>
  <si>
    <t xml:space="preserve">Aplikace připomíná měření ráno a večer.</t>
  </si>
  <si>
    <t xml:space="preserve">FP-A14</t>
  </si>
  <si>
    <t xml:space="preserve">Při velmi vysoké hodnotě (≥ 180/110) aplikace vyzve pacienta ke kontaktu s lékařem, při potížích k volání 155.</t>
  </si>
  <si>
    <t xml:space="preserve">FP-A15</t>
  </si>
  <si>
    <t xml:space="preserve">Aplikace převezme z tlakoměru příznak nepravidelného rytmu.</t>
  </si>
  <si>
    <t xml:space="preserve">FP-A16</t>
  </si>
  <si>
    <t xml:space="preserve">Motivační prvky: série dnů bez energetického nápoje, týdenní souhrn.</t>
  </si>
  <si>
    <t xml:space="preserve">Could</t>
  </si>
  <si>
    <t xml:space="preserve">FP-P01</t>
  </si>
  <si>
    <t xml:space="preserve">Portál (role 2)</t>
  </si>
  <si>
    <t xml:space="preserve">Pacient i lékař se přihlásí bezpečně (dvoufaktorové ověření).</t>
  </si>
  <si>
    <t xml:space="preserve">Pacient, lékař</t>
  </si>
  <si>
    <t xml:space="preserve">UC portál: Přihlásit se «include» Ověřit identitu</t>
  </si>
  <si>
    <t xml:space="preserve">FP-P02</t>
  </si>
  <si>
    <t xml:space="preserve">Pacient vidí svoje měření tlaku a pulsu v tabulce i v grafu (den / týden / měsíc).</t>
  </si>
  <si>
    <t xml:space="preserve">UC portál: Zobrazit měření; Zobrazit graf</t>
  </si>
  <si>
    <t xml:space="preserve">FP-P03</t>
  </si>
  <si>
    <t xml:space="preserve">Pacient vidí týdenní souhrn: průměrný tlak, kroky, energetické nápoje, slané jídlo.</t>
  </si>
  <si>
    <t xml:space="preserve">UC portál: Zobrazit týdenní souhrn</t>
  </si>
  <si>
    <t xml:space="preserve">FP-P04</t>
  </si>
  <si>
    <t xml:space="preserve">Pacient si stáhne svoje data (PDF/CSV).</t>
  </si>
  <si>
    <t xml:space="preserve">UC portál: Exportovat data</t>
  </si>
  <si>
    <t xml:space="preserve">FP-P05</t>
  </si>
  <si>
    <t xml:space="preserve">Lékař vidí seznam svých pacientů seřazený podle rizika (alerty nahoře).</t>
  </si>
  <si>
    <t xml:space="preserve">Lékař</t>
  </si>
  <si>
    <t xml:space="preserve">UC portál: Zobrazit seznam pacientů podle rizika</t>
  </si>
  <si>
    <t xml:space="preserve">FP-P06</t>
  </si>
  <si>
    <t xml:space="preserve">Lékař vidí detail pacienta s kombinovaným grafem tlak × aktivita × životospráva.</t>
  </si>
  <si>
    <t xml:space="preserve">UC portál: Zobrazit detail pacienta</t>
  </si>
  <si>
    <t xml:space="preserve">FP-P07</t>
  </si>
  <si>
    <t xml:space="preserve">Lékař nastaví pacientovi cílový tlak, limity pro alerty a doporučený limit energetických nápojů.</t>
  </si>
  <si>
    <t xml:space="preserve">UC portál: Nastavit cílový tlak a limity «extend» limit nápojů</t>
  </si>
  <si>
    <t xml:space="preserve">FP-P08</t>
  </si>
  <si>
    <t xml:space="preserve">Lékař potvrdí a vyřeší alert a zapíše k němu poznámku.</t>
  </si>
  <si>
    <t xml:space="preserve">UC portál: Vyřešit alert; SD alert</t>
  </si>
  <si>
    <t xml:space="preserve">FP-P09</t>
  </si>
  <si>
    <t xml:space="preserve">Lékař opraví chybný záznam měření; původní hodnota zůstane v historii změn.</t>
  </si>
  <si>
    <t xml:space="preserve">UC portál: Opravit záznam «include» Uložit změnu do historie</t>
  </si>
  <si>
    <t xml:space="preserve">FP-P10</t>
  </si>
  <si>
    <t xml:space="preserve">Lékař zapíše pacientovi doporučení, které se zobrazí v portálu i v aplikaci.</t>
  </si>
  <si>
    <t xml:space="preserve">UC portál: Zapsat doporučení</t>
  </si>
  <si>
    <t xml:space="preserve">FP-P11</t>
  </si>
  <si>
    <t xml:space="preserve">Administrátor spravuje uživatele, role a přiřazení pacientů k lékařům.</t>
  </si>
  <si>
    <t xml:space="preserve">Administrátor</t>
  </si>
  <si>
    <t xml:space="preserve">UC portál: Spravovat účty / role / Přiřadit pacienta</t>
  </si>
  <si>
    <t xml:space="preserve">FP-P12</t>
  </si>
  <si>
    <t xml:space="preserve">Urgentní alert nepřevzatý do 2 h (mimo ordinační dobu ihned) se eskaluje zástupci lékaře.</t>
  </si>
  <si>
    <t xml:space="preserve">SD alert: after(2 h) → Eskalován</t>
  </si>
  <si>
    <t xml:space="preserve">FP-P13</t>
  </si>
  <si>
    <t xml:space="preserve">Administrátor prohlíží auditní log přístupů ke zdravotním datům.</t>
  </si>
  <si>
    <t xml:space="preserve">UC portál: Zobrazit auditní log</t>
  </si>
  <si>
    <t xml:space="preserve">FP-S01</t>
  </si>
  <si>
    <t xml:space="preserve">WEB API + DB (role 3)</t>
  </si>
  <si>
    <t xml:space="preserve">API přijímá měření, aktivitu a záznamy životosprávy z aplikace a ukládá je do DB.</t>
  </si>
  <si>
    <t xml:space="preserve">Systém</t>
  </si>
  <si>
    <t xml:space="preserve">UC API: Odeslat měření / aktivitu / životosprávu</t>
  </si>
  <si>
    <t xml:space="preserve">FP-S02</t>
  </si>
  <si>
    <t xml:space="preserve">API ověřuje identitu (dvoufaktorově) a oprávnění podle role a vazby pacient–lékař.</t>
  </si>
  <si>
    <t xml:space="preserve">UC API: Přihlášení / MFA</t>
  </si>
  <si>
    <t xml:space="preserve">FP-S03</t>
  </si>
  <si>
    <t xml:space="preserve">API validuje přijatá data a idempotentně zpracuje opakované odeslání (stejné measurementId).</t>
  </si>
  <si>
    <t xml:space="preserve">SD API: Kontrola duplicity measurementId</t>
  </si>
  <si>
    <t xml:space="preserve">FP-S04</t>
  </si>
  <si>
    <t xml:space="preserve">Při příjmu měření API porovná hodnoty s limity pacienta a případně vytvoří alert.</t>
  </si>
  <si>
    <t xml:space="preserve">SD API; SD alert: Vytvořen</t>
  </si>
  <si>
    <t xml:space="preserve">FP-S05</t>
  </si>
  <si>
    <t xml:space="preserve">API počítá týdenní souhrny pro aplikaci a portál.</t>
  </si>
  <si>
    <t xml:space="preserve">UC API: Načíst souhrn a export</t>
  </si>
  <si>
    <t xml:space="preserve">FP-S06</t>
  </si>
  <si>
    <t xml:space="preserve">API zapisuje přístupy ke zdravotním datům a exporty do auditního logu.</t>
  </si>
  <si>
    <t xml:space="preserve">ER: AuditLog</t>
  </si>
  <si>
    <t xml:space="preserve">FP-S07</t>
  </si>
  <si>
    <t xml:space="preserve">Oprava měření se uloží v transakci s historií změn a označením pro novou synchronizaci s NIS.</t>
  </si>
  <si>
    <t xml:space="preserve">UC API: Opravit měření + historie</t>
  </si>
  <si>
    <t xml:space="preserve">FP-S08</t>
  </si>
  <si>
    <t xml:space="preserve">API posílá notifikace (urgentní alert lékaři e-mailem, nové doporučení pacientovi).</t>
  </si>
  <si>
    <t xml:space="preserve">SD alert: Odeslán lékaři</t>
  </si>
  <si>
    <t xml:space="preserve">FP-I01</t>
  </si>
  <si>
    <t xml:space="preserve">Integrátor NIS (role 4)</t>
  </si>
  <si>
    <t xml:space="preserve">Integrátor periodicky odesílá nová měření do NIS ve formátu HL7 FHIR.</t>
  </si>
  <si>
    <t xml:space="preserve">Systém, NIS</t>
  </si>
  <si>
    <t xml:space="preserve">UC integrátoru (zatím neexistuje)</t>
  </si>
  <si>
    <t xml:space="preserve">FP-I02</t>
  </si>
  <si>
    <t xml:space="preserve">Administrátor nastaví periodu synchronizace.</t>
  </si>
  <si>
    <t xml:space="preserve">UC integrátoru</t>
  </si>
  <si>
    <t xml:space="preserve">FP-I03</t>
  </si>
  <si>
    <t xml:space="preserve">Integrátor čte data přímo z DB (bez WEB API) přes účet s minimálními oprávněními.</t>
  </si>
  <si>
    <t xml:space="preserve">Zadání; ER: NisSynchronizace</t>
  </si>
  <si>
    <t xml:space="preserve">FP-I04</t>
  </si>
  <si>
    <t xml:space="preserve">Integrátor eviduje, co už bylo odesláno, a nic neposílá dvakrát.</t>
  </si>
  <si>
    <t xml:space="preserve">ER: NisSynchronizace</t>
  </si>
  <si>
    <t xml:space="preserve">FP-I05</t>
  </si>
  <si>
    <t xml:space="preserve">Při chybě spojení integrátor opakuje odeslání.</t>
  </si>
  <si>
    <t xml:space="preserve">SD synchronizace (zatím neexistuje)</t>
  </si>
  <si>
    <t xml:space="preserve">FP-I06</t>
  </si>
  <si>
    <t xml:space="preserve">Při dlouhodobé nedostupnosti NIS pošle e-mail administrátorovi.</t>
  </si>
  <si>
    <t xml:space="preserve">Zadání</t>
  </si>
  <si>
    <t xml:space="preserve">FP-I07</t>
  </si>
  <si>
    <t xml:space="preserve">Opravená měření se do NIS odešlou znovu.</t>
  </si>
  <si>
    <t xml:space="preserve">FP-I08</t>
  </si>
  <si>
    <t xml:space="preserve">Administrátor vidí log synchronizace (úspěchy, chyby).</t>
  </si>
  <si>
    <t xml:space="preserve">FP-I09</t>
  </si>
  <si>
    <t xml:space="preserve">Odesílat do NIS týdenní souhrn životosprávy (otevřená otázka).</t>
  </si>
  <si>
    <t xml:space="preserve">Nefunkční požadavky</t>
  </si>
  <si>
    <t xml:space="preserve">Zdroj (kdo uvedl)</t>
  </si>
  <si>
    <t xml:space="preserve">Týká se</t>
  </si>
  <si>
    <t xml:space="preserve">NFP-01</t>
  </si>
  <si>
    <t xml:space="preserve">Mak / Ema</t>
  </si>
  <si>
    <t xml:space="preserve">Veškerá komunikace klientů s API je šifrovaná (HTTPS/TLS).</t>
  </si>
  <si>
    <t xml:space="preserve">Všechny</t>
  </si>
  <si>
    <t xml:space="preserve">NFP-02</t>
  </si>
  <si>
    <t xml:space="preserve">Maky / Sabi</t>
  </si>
  <si>
    <t xml:space="preserve">Aplikace ani portál nekomunikují s databází přímo, jen přes WEB API.</t>
  </si>
  <si>
    <t xml:space="preserve">Aplikace, portál</t>
  </si>
  <si>
    <t xml:space="preserve">NFP-03</t>
  </si>
  <si>
    <t xml:space="preserve">Ema</t>
  </si>
  <si>
    <t xml:space="preserve">Hesla jen jako bezpečné hashe (např. Argon2id), tajemství MFA šifrované.</t>
  </si>
  <si>
    <t xml:space="preserve">API + DB</t>
  </si>
  <si>
    <t xml:space="preserve">NFP-04</t>
  </si>
  <si>
    <t xml:space="preserve">Maky</t>
  </si>
  <si>
    <t xml:space="preserve">Přihlašovací tokeny se v telefonu ukládají do zabezpečeného úložiště.</t>
  </si>
  <si>
    <t xml:space="preserve">Aplikace</t>
  </si>
  <si>
    <t xml:space="preserve">NFP-05</t>
  </si>
  <si>
    <t xml:space="preserve">Sabi</t>
  </si>
  <si>
    <t xml:space="preserve">Portál po 15 minutách nečinnosti automaticky odhlásí uživatele.</t>
  </si>
  <si>
    <t xml:space="preserve">Portál</t>
  </si>
  <si>
    <t xml:space="preserve">NFP-06</t>
  </si>
  <si>
    <t xml:space="preserve">Každé měření má jednoznačné ID a čas s časovým pásmem; opakované odeslání nevytvoří duplicitu.</t>
  </si>
  <si>
    <t xml:space="preserve">Aplikace, API</t>
  </si>
  <si>
    <t xml:space="preserve">NFP-07</t>
  </si>
  <si>
    <t xml:space="preserve">Bez internetu se žádný záznam neztratí (lokální fronta).</t>
  </si>
  <si>
    <t xml:space="preserve">NFP-08</t>
  </si>
  <si>
    <t xml:space="preserve">Srozumitelný stav synchronizace: čeká / odesílá se / synchronizováno / chyba.</t>
  </si>
  <si>
    <t xml:space="preserve">NFP-09</t>
  </si>
  <si>
    <t xml:space="preserve">Dashboard lékaře se načte do 2–3 s.</t>
  </si>
  <si>
    <t xml:space="preserve">NFP-10</t>
  </si>
  <si>
    <t xml:space="preserve">Rychlý záznam soli / energetického nápoje zabere nejvýš 3 klepnutí.</t>
  </si>
  <si>
    <t xml:space="preserve">NFP-11</t>
  </si>
  <si>
    <t xml:space="preserve">Portál je responzivní (počítač i tablet) a funguje v běžných prohlížečích.</t>
  </si>
  <si>
    <t xml:space="preserve">NFP-12</t>
  </si>
  <si>
    <t xml:space="preserve">Systém nediagnostikuje hypertenzi ani nevydává léčebná doporučení sám – rozhoduje lékař.</t>
  </si>
  <si>
    <t xml:space="preserve">NFP-13</t>
  </si>
  <si>
    <t xml:space="preserve">Každý přístup ke zdravotním datům se zapisuje do auditního logu.</t>
  </si>
  <si>
    <t xml:space="preserve">NFP-14</t>
  </si>
  <si>
    <t xml:space="preserve">Maky / Ema</t>
  </si>
  <si>
    <t xml:space="preserve">Ve vývoji a testech se používají jen syntetická data.</t>
  </si>
  <si>
    <t xml:space="preserve">NFP-15</t>
  </si>
  <si>
    <t xml:space="preserve">Zálohy databáze jsou šifrované; tajné údaje nejsou v repozitáři.</t>
  </si>
  <si>
    <t xml:space="preserve">NFP-16</t>
  </si>
  <si>
    <t xml:space="preserve">Zpracování osobních údajů dle GDPR: souhlas, export, výmaz, doba uchování (doba zatím neurčena).</t>
  </si>
  <si>
    <t xml:space="preserve">Otevřené</t>
  </si>
  <si>
    <t xml:space="preserve">NFP-17</t>
  </si>
  <si>
    <t xml:space="preserve">Integrátor používá samostatný databázový účet s minimálními oprávněními.</t>
  </si>
  <si>
    <t xml:space="preserve">Integrátor</t>
  </si>
  <si>
    <t xml:space="preserve">Co systém dělat nebude (Won't)</t>
  </si>
  <si>
    <t xml:space="preserve">#</t>
  </si>
  <si>
    <t xml:space="preserve">Vymezení</t>
  </si>
  <si>
    <t xml:space="preserve">Systém nestanovuje diagnózu ani nemění léčbu automaticky.</t>
  </si>
  <si>
    <t xml:space="preserve">Žádné vážení jídla ani databáze potravin – jen rychlý odhad soli a počet nápojů.</t>
  </si>
  <si>
    <t xml:space="preserve">Žádné napojení na jídelní a nákupní aplikace (možné rozšíření).</t>
  </si>
  <si>
    <t xml:space="preserve">Žádná funkční implementace – výstupem je návrhová dokumentace.</t>
  </si>
  <si>
    <t xml:space="preserve">Přehled stavu</t>
  </si>
  <si>
    <t xml:space="preserve">Požadavků</t>
  </si>
  <si>
    <t xml:space="preserve">Odsouhlaseno</t>
  </si>
  <si>
    <t xml:space="preserve">Odsouhlaseno %</t>
  </si>
  <si>
    <t xml:space="preserve">Nefunkční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</si>
</sst>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52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28"/>
  </cols>
  <sheetData>
    <row r="1" customFormat="false" ht="17.35" hidden="false" customHeight="fals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6" t="s">
        <v>20</v>
      </c>
      <c r="J5" s="6"/>
    </row>
    <row r="6" customFormat="false" ht="15" hidden="false" customHeight="false" outlineLevel="0" collapsed="false">
      <c r="A6" s="4" t="s">
        <v>21</v>
      </c>
      <c r="B6" s="5" t="s">
        <v>22</v>
      </c>
      <c r="C6" s="5" t="s">
        <v>14</v>
      </c>
      <c r="D6" s="5" t="s">
        <v>23</v>
      </c>
      <c r="E6" s="5" t="s">
        <v>16</v>
      </c>
      <c r="F6" s="5" t="s">
        <v>17</v>
      </c>
      <c r="G6" s="5" t="s">
        <v>24</v>
      </c>
      <c r="H6" s="5" t="s">
        <v>19</v>
      </c>
      <c r="I6" s="6" t="s">
        <v>20</v>
      </c>
      <c r="J6" s="6"/>
    </row>
    <row r="7" customFormat="false" ht="26.85" hidden="false" customHeight="false" outlineLevel="0" collapsed="false">
      <c r="A7" s="4" t="s">
        <v>25</v>
      </c>
      <c r="B7" s="5" t="s">
        <v>26</v>
      </c>
      <c r="C7" s="5" t="s">
        <v>14</v>
      </c>
      <c r="D7" s="5" t="s">
        <v>27</v>
      </c>
      <c r="E7" s="5" t="s">
        <v>28</v>
      </c>
      <c r="F7" s="5" t="s">
        <v>17</v>
      </c>
      <c r="G7" s="5" t="s">
        <v>29</v>
      </c>
      <c r="H7" s="5" t="s">
        <v>19</v>
      </c>
      <c r="I7" s="6" t="s">
        <v>20</v>
      </c>
      <c r="J7" s="6"/>
    </row>
    <row r="8" customFormat="false" ht="15" hidden="false" customHeight="false" outlineLevel="0" collapsed="false">
      <c r="A8" s="4" t="s">
        <v>30</v>
      </c>
      <c r="B8" s="5" t="s">
        <v>31</v>
      </c>
      <c r="C8" s="5" t="s">
        <v>14</v>
      </c>
      <c r="D8" s="5" t="s">
        <v>32</v>
      </c>
      <c r="E8" s="5" t="s">
        <v>33</v>
      </c>
      <c r="F8" s="5" t="s">
        <v>17</v>
      </c>
      <c r="G8" s="5" t="s">
        <v>34</v>
      </c>
      <c r="H8" s="5" t="s">
        <v>19</v>
      </c>
      <c r="I8" s="6" t="s">
        <v>20</v>
      </c>
      <c r="J8" s="6"/>
    </row>
    <row r="9" customFormat="false" ht="15" hidden="false" customHeight="false" outlineLevel="0" collapsed="false">
      <c r="A9" s="4" t="s">
        <v>35</v>
      </c>
      <c r="B9" s="5" t="s">
        <v>36</v>
      </c>
      <c r="C9" s="5" t="s">
        <v>14</v>
      </c>
      <c r="D9" s="5" t="s">
        <v>37</v>
      </c>
      <c r="E9" s="5" t="s">
        <v>16</v>
      </c>
      <c r="F9" s="5" t="s">
        <v>17</v>
      </c>
      <c r="G9" s="5" t="s">
        <v>38</v>
      </c>
      <c r="H9" s="5" t="s">
        <v>19</v>
      </c>
      <c r="I9" s="6" t="s">
        <v>20</v>
      </c>
      <c r="J9" s="6"/>
    </row>
    <row r="10" customFormat="false" ht="15" hidden="false" customHeight="false" outlineLevel="0" collapsed="false">
      <c r="A10" s="4" t="s">
        <v>39</v>
      </c>
      <c r="B10" s="5" t="s">
        <v>40</v>
      </c>
      <c r="C10" s="5" t="s">
        <v>14</v>
      </c>
      <c r="D10" s="5" t="s">
        <v>41</v>
      </c>
      <c r="E10" s="5" t="s">
        <v>16</v>
      </c>
      <c r="F10" s="5" t="s">
        <v>17</v>
      </c>
      <c r="G10" s="5" t="s">
        <v>38</v>
      </c>
      <c r="H10" s="5" t="s">
        <v>19</v>
      </c>
      <c r="I10" s="6" t="s">
        <v>20</v>
      </c>
      <c r="J10" s="6"/>
    </row>
    <row r="11" customFormat="false" ht="26.85" hidden="false" customHeight="false" outlineLevel="0" collapsed="false">
      <c r="A11" s="4" t="s">
        <v>42</v>
      </c>
      <c r="B11" s="5" t="s">
        <v>43</v>
      </c>
      <c r="C11" s="5" t="s">
        <v>14</v>
      </c>
      <c r="D11" s="5" t="s">
        <v>44</v>
      </c>
      <c r="E11" s="5" t="s">
        <v>16</v>
      </c>
      <c r="F11" s="5" t="s">
        <v>17</v>
      </c>
      <c r="G11" s="5" t="s">
        <v>45</v>
      </c>
      <c r="H11" s="5" t="s">
        <v>19</v>
      </c>
      <c r="I11" s="6" t="s">
        <v>20</v>
      </c>
      <c r="J11" s="6"/>
    </row>
    <row r="12" customFormat="false" ht="15" hidden="false" customHeight="false" outlineLevel="0" collapsed="false">
      <c r="A12" s="4" t="s">
        <v>46</v>
      </c>
      <c r="B12" s="5" t="s">
        <v>47</v>
      </c>
      <c r="C12" s="5" t="s">
        <v>14</v>
      </c>
      <c r="D12" s="5" t="s">
        <v>48</v>
      </c>
      <c r="E12" s="5" t="s">
        <v>16</v>
      </c>
      <c r="F12" s="5" t="s">
        <v>17</v>
      </c>
      <c r="G12" s="5" t="s">
        <v>49</v>
      </c>
      <c r="H12" s="5" t="s">
        <v>19</v>
      </c>
      <c r="I12" s="6" t="s">
        <v>20</v>
      </c>
      <c r="J12" s="6"/>
    </row>
    <row r="13" customFormat="false" ht="15" hidden="false" customHeight="false" outlineLevel="0" collapsed="false">
      <c r="A13" s="4" t="s">
        <v>50</v>
      </c>
      <c r="B13" s="5" t="s">
        <v>51</v>
      </c>
      <c r="C13" s="5" t="s">
        <v>14</v>
      </c>
      <c r="D13" s="5" t="s">
        <v>52</v>
      </c>
      <c r="E13" s="5" t="s">
        <v>16</v>
      </c>
      <c r="F13" s="5" t="s">
        <v>53</v>
      </c>
      <c r="G13" s="5" t="s">
        <v>49</v>
      </c>
      <c r="H13" s="5" t="s">
        <v>19</v>
      </c>
      <c r="I13" s="6" t="s">
        <v>20</v>
      </c>
      <c r="J13" s="6"/>
    </row>
    <row r="14" customFormat="false" ht="15" hidden="false" customHeight="false" outlineLevel="0" collapsed="false">
      <c r="A14" s="4" t="s">
        <v>54</v>
      </c>
      <c r="B14" s="5" t="s">
        <v>55</v>
      </c>
      <c r="C14" s="5" t="s">
        <v>14</v>
      </c>
      <c r="D14" s="5" t="s">
        <v>56</v>
      </c>
      <c r="E14" s="5" t="s">
        <v>16</v>
      </c>
      <c r="F14" s="5" t="s">
        <v>53</v>
      </c>
      <c r="G14" s="5" t="s">
        <v>57</v>
      </c>
      <c r="H14" s="5" t="s">
        <v>19</v>
      </c>
      <c r="I14" s="6" t="s">
        <v>20</v>
      </c>
      <c r="J14" s="6"/>
    </row>
    <row r="15" customFormat="false" ht="26.85" hidden="false" customHeight="false" outlineLevel="0" collapsed="false">
      <c r="A15" s="7" t="s">
        <v>58</v>
      </c>
      <c r="B15" s="8" t="s">
        <v>59</v>
      </c>
      <c r="C15" s="8" t="s">
        <v>14</v>
      </c>
      <c r="D15" s="8" t="s">
        <v>60</v>
      </c>
      <c r="E15" s="8" t="s">
        <v>16</v>
      </c>
      <c r="F15" s="8" t="s">
        <v>17</v>
      </c>
      <c r="G15" s="8" t="s">
        <v>61</v>
      </c>
      <c r="H15" s="8" t="s">
        <v>62</v>
      </c>
      <c r="I15" s="6" t="s">
        <v>20</v>
      </c>
      <c r="J15" s="6"/>
    </row>
    <row r="16" customFormat="false" ht="26.85" hidden="false" customHeight="false" outlineLevel="0" collapsed="false">
      <c r="A16" s="7" t="s">
        <v>63</v>
      </c>
      <c r="B16" s="8" t="s">
        <v>59</v>
      </c>
      <c r="C16" s="8" t="s">
        <v>14</v>
      </c>
      <c r="D16" s="8" t="s">
        <v>64</v>
      </c>
      <c r="E16" s="8" t="s">
        <v>16</v>
      </c>
      <c r="F16" s="8" t="s">
        <v>53</v>
      </c>
      <c r="G16" s="8" t="s">
        <v>65</v>
      </c>
      <c r="H16" s="8" t="s">
        <v>62</v>
      </c>
      <c r="I16" s="6" t="s">
        <v>20</v>
      </c>
      <c r="J16" s="6"/>
    </row>
    <row r="17" customFormat="false" ht="26.85" hidden="false" customHeight="false" outlineLevel="0" collapsed="false">
      <c r="A17" s="7" t="s">
        <v>66</v>
      </c>
      <c r="B17" s="8" t="s">
        <v>59</v>
      </c>
      <c r="C17" s="8" t="s">
        <v>14</v>
      </c>
      <c r="D17" s="8" t="s">
        <v>67</v>
      </c>
      <c r="E17" s="8" t="s">
        <v>16</v>
      </c>
      <c r="F17" s="8" t="s">
        <v>53</v>
      </c>
      <c r="G17" s="8" t="s">
        <v>65</v>
      </c>
      <c r="H17" s="8" t="s">
        <v>62</v>
      </c>
      <c r="I17" s="6" t="s">
        <v>20</v>
      </c>
      <c r="J17" s="6"/>
    </row>
    <row r="18" customFormat="false" ht="39.55" hidden="false" customHeight="false" outlineLevel="0" collapsed="false">
      <c r="A18" s="7" t="s">
        <v>68</v>
      </c>
      <c r="B18" s="8" t="s">
        <v>59</v>
      </c>
      <c r="C18" s="8" t="s">
        <v>14</v>
      </c>
      <c r="D18" s="8" t="s">
        <v>69</v>
      </c>
      <c r="E18" s="8" t="s">
        <v>16</v>
      </c>
      <c r="F18" s="8" t="s">
        <v>17</v>
      </c>
      <c r="G18" s="8" t="s">
        <v>65</v>
      </c>
      <c r="H18" s="8" t="s">
        <v>62</v>
      </c>
      <c r="I18" s="6" t="s">
        <v>20</v>
      </c>
      <c r="J18" s="6"/>
    </row>
    <row r="19" customFormat="false" ht="26.85" hidden="false" customHeight="false" outlineLevel="0" collapsed="false">
      <c r="A19" s="7" t="s">
        <v>70</v>
      </c>
      <c r="B19" s="8" t="s">
        <v>59</v>
      </c>
      <c r="C19" s="8" t="s">
        <v>14</v>
      </c>
      <c r="D19" s="8" t="s">
        <v>71</v>
      </c>
      <c r="E19" s="8" t="s">
        <v>33</v>
      </c>
      <c r="F19" s="8" t="s">
        <v>53</v>
      </c>
      <c r="G19" s="8" t="s">
        <v>65</v>
      </c>
      <c r="H19" s="8" t="s">
        <v>62</v>
      </c>
      <c r="I19" s="6" t="s">
        <v>20</v>
      </c>
      <c r="J19" s="6"/>
    </row>
    <row r="20" customFormat="false" ht="26.85" hidden="false" customHeight="false" outlineLevel="0" collapsed="false">
      <c r="A20" s="7" t="s">
        <v>72</v>
      </c>
      <c r="B20" s="8" t="s">
        <v>59</v>
      </c>
      <c r="C20" s="8" t="s">
        <v>14</v>
      </c>
      <c r="D20" s="8" t="s">
        <v>73</v>
      </c>
      <c r="E20" s="8" t="s">
        <v>16</v>
      </c>
      <c r="F20" s="8" t="s">
        <v>74</v>
      </c>
      <c r="G20" s="8" t="s">
        <v>59</v>
      </c>
      <c r="H20" s="8" t="s">
        <v>62</v>
      </c>
      <c r="I20" s="6" t="s">
        <v>20</v>
      </c>
      <c r="J20" s="6"/>
    </row>
    <row r="21" customFormat="false" ht="26.85" hidden="false" customHeight="false" outlineLevel="0" collapsed="false">
      <c r="A21" s="4" t="s">
        <v>75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17</v>
      </c>
      <c r="G21" s="5" t="s">
        <v>79</v>
      </c>
      <c r="H21" s="5" t="s">
        <v>19</v>
      </c>
      <c r="I21" s="6" t="s">
        <v>20</v>
      </c>
      <c r="J21" s="6"/>
    </row>
    <row r="22" customFormat="false" ht="26.85" hidden="false" customHeight="false" outlineLevel="0" collapsed="false">
      <c r="A22" s="4" t="s">
        <v>80</v>
      </c>
      <c r="B22" s="5" t="s">
        <v>80</v>
      </c>
      <c r="C22" s="5" t="s">
        <v>76</v>
      </c>
      <c r="D22" s="5" t="s">
        <v>81</v>
      </c>
      <c r="E22" s="5" t="s">
        <v>16</v>
      </c>
      <c r="F22" s="5" t="s">
        <v>17</v>
      </c>
      <c r="G22" s="5" t="s">
        <v>82</v>
      </c>
      <c r="H22" s="5" t="s">
        <v>19</v>
      </c>
      <c r="I22" s="6" t="s">
        <v>20</v>
      </c>
      <c r="J22" s="6"/>
    </row>
    <row r="23" customFormat="false" ht="26.85" hidden="false" customHeight="false" outlineLevel="0" collapsed="false">
      <c r="A23" s="4" t="s">
        <v>83</v>
      </c>
      <c r="B23" s="5" t="s">
        <v>83</v>
      </c>
      <c r="C23" s="5" t="s">
        <v>76</v>
      </c>
      <c r="D23" s="5" t="s">
        <v>84</v>
      </c>
      <c r="E23" s="5" t="s">
        <v>16</v>
      </c>
      <c r="F23" s="5" t="s">
        <v>53</v>
      </c>
      <c r="G23" s="5" t="s">
        <v>85</v>
      </c>
      <c r="H23" s="5" t="s">
        <v>19</v>
      </c>
      <c r="I23" s="6" t="s">
        <v>20</v>
      </c>
      <c r="J23" s="6"/>
    </row>
    <row r="24" customFormat="false" ht="15" hidden="false" customHeight="false" outlineLevel="0" collapsed="false">
      <c r="A24" s="4" t="s">
        <v>86</v>
      </c>
      <c r="B24" s="5" t="s">
        <v>86</v>
      </c>
      <c r="C24" s="5" t="s">
        <v>76</v>
      </c>
      <c r="D24" s="5" t="s">
        <v>87</v>
      </c>
      <c r="E24" s="5" t="s">
        <v>16</v>
      </c>
      <c r="F24" s="5" t="s">
        <v>53</v>
      </c>
      <c r="G24" s="5" t="s">
        <v>88</v>
      </c>
      <c r="H24" s="5" t="s">
        <v>19</v>
      </c>
      <c r="I24" s="6" t="s">
        <v>20</v>
      </c>
      <c r="J24" s="6"/>
    </row>
    <row r="25" customFormat="false" ht="26.85" hidden="false" customHeight="false" outlineLevel="0" collapsed="false">
      <c r="A25" s="4" t="s">
        <v>89</v>
      </c>
      <c r="B25" s="5" t="s">
        <v>89</v>
      </c>
      <c r="C25" s="5" t="s">
        <v>76</v>
      </c>
      <c r="D25" s="5" t="s">
        <v>90</v>
      </c>
      <c r="E25" s="5" t="s">
        <v>91</v>
      </c>
      <c r="F25" s="5" t="s">
        <v>17</v>
      </c>
      <c r="G25" s="5" t="s">
        <v>92</v>
      </c>
      <c r="H25" s="5" t="s">
        <v>19</v>
      </c>
      <c r="I25" s="6" t="s">
        <v>20</v>
      </c>
      <c r="J25" s="6"/>
    </row>
    <row r="26" customFormat="false" ht="26.85" hidden="false" customHeight="false" outlineLevel="0" collapsed="false">
      <c r="A26" s="4" t="s">
        <v>93</v>
      </c>
      <c r="B26" s="5" t="s">
        <v>93</v>
      </c>
      <c r="C26" s="5" t="s">
        <v>76</v>
      </c>
      <c r="D26" s="5" t="s">
        <v>94</v>
      </c>
      <c r="E26" s="5" t="s">
        <v>91</v>
      </c>
      <c r="F26" s="5" t="s">
        <v>17</v>
      </c>
      <c r="G26" s="5" t="s">
        <v>95</v>
      </c>
      <c r="H26" s="5" t="s">
        <v>19</v>
      </c>
      <c r="I26" s="6" t="s">
        <v>20</v>
      </c>
      <c r="J26" s="6"/>
    </row>
    <row r="27" customFormat="false" ht="26.85" hidden="false" customHeight="false" outlineLevel="0" collapsed="false">
      <c r="A27" s="4" t="s">
        <v>96</v>
      </c>
      <c r="B27" s="5" t="s">
        <v>96</v>
      </c>
      <c r="C27" s="5" t="s">
        <v>76</v>
      </c>
      <c r="D27" s="5" t="s">
        <v>97</v>
      </c>
      <c r="E27" s="5" t="s">
        <v>91</v>
      </c>
      <c r="F27" s="5" t="s">
        <v>17</v>
      </c>
      <c r="G27" s="5" t="s">
        <v>98</v>
      </c>
      <c r="H27" s="5" t="s">
        <v>19</v>
      </c>
      <c r="I27" s="6" t="s">
        <v>20</v>
      </c>
      <c r="J27" s="6"/>
    </row>
    <row r="28" customFormat="false" ht="15" hidden="false" customHeight="false" outlineLevel="0" collapsed="false">
      <c r="A28" s="4" t="s">
        <v>99</v>
      </c>
      <c r="B28" s="5" t="s">
        <v>99</v>
      </c>
      <c r="C28" s="5" t="s">
        <v>76</v>
      </c>
      <c r="D28" s="5" t="s">
        <v>100</v>
      </c>
      <c r="E28" s="5" t="s">
        <v>91</v>
      </c>
      <c r="F28" s="5" t="s">
        <v>17</v>
      </c>
      <c r="G28" s="5" t="s">
        <v>101</v>
      </c>
      <c r="H28" s="5" t="s">
        <v>19</v>
      </c>
      <c r="I28" s="6" t="s">
        <v>20</v>
      </c>
      <c r="J28" s="6"/>
    </row>
    <row r="29" customFormat="false" ht="26.85" hidden="false" customHeight="false" outlineLevel="0" collapsed="false">
      <c r="A29" s="4" t="s">
        <v>102</v>
      </c>
      <c r="B29" s="5" t="s">
        <v>102</v>
      </c>
      <c r="C29" s="5" t="s">
        <v>76</v>
      </c>
      <c r="D29" s="5" t="s">
        <v>103</v>
      </c>
      <c r="E29" s="5" t="s">
        <v>91</v>
      </c>
      <c r="F29" s="5" t="s">
        <v>17</v>
      </c>
      <c r="G29" s="5" t="s">
        <v>104</v>
      </c>
      <c r="H29" s="5" t="s">
        <v>19</v>
      </c>
      <c r="I29" s="6" t="s">
        <v>20</v>
      </c>
      <c r="J29" s="6"/>
    </row>
    <row r="30" customFormat="false" ht="26.85" hidden="false" customHeight="false" outlineLevel="0" collapsed="false">
      <c r="A30" s="4" t="s">
        <v>105</v>
      </c>
      <c r="B30" s="5" t="s">
        <v>105</v>
      </c>
      <c r="C30" s="5" t="s">
        <v>76</v>
      </c>
      <c r="D30" s="5" t="s">
        <v>106</v>
      </c>
      <c r="E30" s="5" t="s">
        <v>91</v>
      </c>
      <c r="F30" s="5" t="s">
        <v>17</v>
      </c>
      <c r="G30" s="5" t="s">
        <v>107</v>
      </c>
      <c r="H30" s="5" t="s">
        <v>19</v>
      </c>
      <c r="I30" s="6" t="s">
        <v>20</v>
      </c>
      <c r="J30" s="6"/>
    </row>
    <row r="31" customFormat="false" ht="26.85" hidden="false" customHeight="false" outlineLevel="0" collapsed="false">
      <c r="A31" s="4" t="s">
        <v>108</v>
      </c>
      <c r="B31" s="5" t="s">
        <v>108</v>
      </c>
      <c r="C31" s="5" t="s">
        <v>76</v>
      </c>
      <c r="D31" s="5" t="s">
        <v>109</v>
      </c>
      <c r="E31" s="5" t="s">
        <v>110</v>
      </c>
      <c r="F31" s="5" t="s">
        <v>17</v>
      </c>
      <c r="G31" s="5" t="s">
        <v>111</v>
      </c>
      <c r="H31" s="5" t="s">
        <v>19</v>
      </c>
      <c r="I31" s="6" t="s">
        <v>20</v>
      </c>
      <c r="J31" s="6"/>
    </row>
    <row r="32" customFormat="false" ht="26.85" hidden="false" customHeight="false" outlineLevel="0" collapsed="false">
      <c r="A32" s="7" t="s">
        <v>112</v>
      </c>
      <c r="B32" s="8" t="s">
        <v>59</v>
      </c>
      <c r="C32" s="8" t="s">
        <v>76</v>
      </c>
      <c r="D32" s="8" t="s">
        <v>113</v>
      </c>
      <c r="E32" s="8" t="s">
        <v>91</v>
      </c>
      <c r="F32" s="8" t="s">
        <v>17</v>
      </c>
      <c r="G32" s="8" t="s">
        <v>114</v>
      </c>
      <c r="H32" s="8" t="s">
        <v>62</v>
      </c>
      <c r="I32" s="6" t="s">
        <v>20</v>
      </c>
      <c r="J32" s="6"/>
    </row>
    <row r="33" customFormat="false" ht="26.85" hidden="false" customHeight="false" outlineLevel="0" collapsed="false">
      <c r="A33" s="7" t="s">
        <v>115</v>
      </c>
      <c r="B33" s="8" t="s">
        <v>59</v>
      </c>
      <c r="C33" s="8" t="s">
        <v>76</v>
      </c>
      <c r="D33" s="8" t="s">
        <v>116</v>
      </c>
      <c r="E33" s="8" t="s">
        <v>110</v>
      </c>
      <c r="F33" s="8" t="s">
        <v>17</v>
      </c>
      <c r="G33" s="8" t="s">
        <v>117</v>
      </c>
      <c r="H33" s="8" t="s">
        <v>62</v>
      </c>
      <c r="I33" s="6" t="s">
        <v>20</v>
      </c>
      <c r="J33" s="6"/>
    </row>
    <row r="34" customFormat="false" ht="26.85" hidden="false" customHeight="false" outlineLevel="0" collapsed="false">
      <c r="A34" s="7" t="s">
        <v>118</v>
      </c>
      <c r="B34" s="8" t="s">
        <v>59</v>
      </c>
      <c r="C34" s="8" t="s">
        <v>119</v>
      </c>
      <c r="D34" s="8" t="s">
        <v>120</v>
      </c>
      <c r="E34" s="8" t="s">
        <v>121</v>
      </c>
      <c r="F34" s="8" t="s">
        <v>17</v>
      </c>
      <c r="G34" s="8" t="s">
        <v>122</v>
      </c>
      <c r="H34" s="8" t="s">
        <v>62</v>
      </c>
      <c r="I34" s="6" t="s">
        <v>20</v>
      </c>
      <c r="J34" s="6"/>
    </row>
    <row r="35" customFormat="false" ht="26.85" hidden="false" customHeight="false" outlineLevel="0" collapsed="false">
      <c r="A35" s="7" t="s">
        <v>123</v>
      </c>
      <c r="B35" s="8" t="s">
        <v>59</v>
      </c>
      <c r="C35" s="8" t="s">
        <v>119</v>
      </c>
      <c r="D35" s="8" t="s">
        <v>124</v>
      </c>
      <c r="E35" s="8" t="s">
        <v>121</v>
      </c>
      <c r="F35" s="8" t="s">
        <v>17</v>
      </c>
      <c r="G35" s="8" t="s">
        <v>125</v>
      </c>
      <c r="H35" s="8" t="s">
        <v>62</v>
      </c>
      <c r="I35" s="6" t="s">
        <v>20</v>
      </c>
      <c r="J35" s="6"/>
    </row>
    <row r="36" customFormat="false" ht="26.85" hidden="false" customHeight="false" outlineLevel="0" collapsed="false">
      <c r="A36" s="7" t="s">
        <v>126</v>
      </c>
      <c r="B36" s="8" t="s">
        <v>59</v>
      </c>
      <c r="C36" s="8" t="s">
        <v>119</v>
      </c>
      <c r="D36" s="8" t="s">
        <v>127</v>
      </c>
      <c r="E36" s="8" t="s">
        <v>121</v>
      </c>
      <c r="F36" s="8" t="s">
        <v>17</v>
      </c>
      <c r="G36" s="8" t="s">
        <v>128</v>
      </c>
      <c r="H36" s="8" t="s">
        <v>62</v>
      </c>
      <c r="I36" s="6" t="s">
        <v>20</v>
      </c>
      <c r="J36" s="6"/>
    </row>
    <row r="37" customFormat="false" ht="26.85" hidden="false" customHeight="false" outlineLevel="0" collapsed="false">
      <c r="A37" s="7" t="s">
        <v>129</v>
      </c>
      <c r="B37" s="8" t="s">
        <v>59</v>
      </c>
      <c r="C37" s="8" t="s">
        <v>119</v>
      </c>
      <c r="D37" s="8" t="s">
        <v>130</v>
      </c>
      <c r="E37" s="8" t="s">
        <v>121</v>
      </c>
      <c r="F37" s="8" t="s">
        <v>17</v>
      </c>
      <c r="G37" s="8" t="s">
        <v>131</v>
      </c>
      <c r="H37" s="8" t="s">
        <v>62</v>
      </c>
      <c r="I37" s="6" t="s">
        <v>20</v>
      </c>
      <c r="J37" s="6"/>
    </row>
    <row r="38" customFormat="false" ht="26.85" hidden="false" customHeight="false" outlineLevel="0" collapsed="false">
      <c r="A38" s="7" t="s">
        <v>132</v>
      </c>
      <c r="B38" s="8" t="s">
        <v>59</v>
      </c>
      <c r="C38" s="8" t="s">
        <v>119</v>
      </c>
      <c r="D38" s="8" t="s">
        <v>133</v>
      </c>
      <c r="E38" s="8" t="s">
        <v>121</v>
      </c>
      <c r="F38" s="8" t="s">
        <v>53</v>
      </c>
      <c r="G38" s="8" t="s">
        <v>134</v>
      </c>
      <c r="H38" s="8" t="s">
        <v>62</v>
      </c>
      <c r="I38" s="6" t="s">
        <v>20</v>
      </c>
      <c r="J38" s="6"/>
    </row>
    <row r="39" customFormat="false" ht="26.85" hidden="false" customHeight="false" outlineLevel="0" collapsed="false">
      <c r="A39" s="7" t="s">
        <v>135</v>
      </c>
      <c r="B39" s="8" t="s">
        <v>59</v>
      </c>
      <c r="C39" s="8" t="s">
        <v>119</v>
      </c>
      <c r="D39" s="8" t="s">
        <v>136</v>
      </c>
      <c r="E39" s="8" t="s">
        <v>121</v>
      </c>
      <c r="F39" s="8" t="s">
        <v>17</v>
      </c>
      <c r="G39" s="8" t="s">
        <v>137</v>
      </c>
      <c r="H39" s="8" t="s">
        <v>62</v>
      </c>
      <c r="I39" s="6" t="s">
        <v>20</v>
      </c>
      <c r="J39" s="6"/>
    </row>
    <row r="40" customFormat="false" ht="26.85" hidden="false" customHeight="false" outlineLevel="0" collapsed="false">
      <c r="A40" s="7" t="s">
        <v>138</v>
      </c>
      <c r="B40" s="8" t="s">
        <v>59</v>
      </c>
      <c r="C40" s="8" t="s">
        <v>119</v>
      </c>
      <c r="D40" s="8" t="s">
        <v>139</v>
      </c>
      <c r="E40" s="8" t="s">
        <v>121</v>
      </c>
      <c r="F40" s="8" t="s">
        <v>17</v>
      </c>
      <c r="G40" s="8" t="s">
        <v>140</v>
      </c>
      <c r="H40" s="8" t="s">
        <v>62</v>
      </c>
      <c r="I40" s="6" t="s">
        <v>20</v>
      </c>
      <c r="J40" s="6"/>
    </row>
    <row r="41" customFormat="false" ht="26.85" hidden="false" customHeight="false" outlineLevel="0" collapsed="false">
      <c r="A41" s="7" t="s">
        <v>141</v>
      </c>
      <c r="B41" s="8" t="s">
        <v>59</v>
      </c>
      <c r="C41" s="8" t="s">
        <v>119</v>
      </c>
      <c r="D41" s="8" t="s">
        <v>142</v>
      </c>
      <c r="E41" s="8" t="s">
        <v>121</v>
      </c>
      <c r="F41" s="8" t="s">
        <v>53</v>
      </c>
      <c r="G41" s="8" t="s">
        <v>143</v>
      </c>
      <c r="H41" s="8" t="s">
        <v>62</v>
      </c>
      <c r="I41" s="6" t="s">
        <v>20</v>
      </c>
      <c r="J41" s="6"/>
    </row>
    <row r="42" customFormat="false" ht="26.85" hidden="false" customHeight="false" outlineLevel="0" collapsed="false">
      <c r="A42" s="7" t="s">
        <v>144</v>
      </c>
      <c r="B42" s="8" t="s">
        <v>59</v>
      </c>
      <c r="C42" s="8" t="s">
        <v>145</v>
      </c>
      <c r="D42" s="8" t="s">
        <v>146</v>
      </c>
      <c r="E42" s="8" t="s">
        <v>147</v>
      </c>
      <c r="F42" s="8" t="s">
        <v>17</v>
      </c>
      <c r="G42" s="8" t="s">
        <v>148</v>
      </c>
      <c r="H42" s="8" t="s">
        <v>62</v>
      </c>
      <c r="I42" s="6" t="s">
        <v>20</v>
      </c>
      <c r="J42" s="6"/>
    </row>
    <row r="43" customFormat="false" ht="26.85" hidden="false" customHeight="false" outlineLevel="0" collapsed="false">
      <c r="A43" s="7" t="s">
        <v>149</v>
      </c>
      <c r="B43" s="8" t="s">
        <v>59</v>
      </c>
      <c r="C43" s="8" t="s">
        <v>145</v>
      </c>
      <c r="D43" s="8" t="s">
        <v>150</v>
      </c>
      <c r="E43" s="8" t="s">
        <v>110</v>
      </c>
      <c r="F43" s="8" t="s">
        <v>17</v>
      </c>
      <c r="G43" s="8" t="s">
        <v>151</v>
      </c>
      <c r="H43" s="8" t="s">
        <v>62</v>
      </c>
      <c r="I43" s="6" t="s">
        <v>20</v>
      </c>
      <c r="J43" s="6"/>
    </row>
    <row r="44" customFormat="false" ht="26.85" hidden="false" customHeight="false" outlineLevel="0" collapsed="false">
      <c r="A44" s="7" t="s">
        <v>152</v>
      </c>
      <c r="B44" s="8" t="s">
        <v>59</v>
      </c>
      <c r="C44" s="8" t="s">
        <v>145</v>
      </c>
      <c r="D44" s="8" t="s">
        <v>153</v>
      </c>
      <c r="E44" s="8" t="s">
        <v>121</v>
      </c>
      <c r="F44" s="8" t="s">
        <v>17</v>
      </c>
      <c r="G44" s="8" t="s">
        <v>154</v>
      </c>
      <c r="H44" s="8" t="s">
        <v>62</v>
      </c>
      <c r="I44" s="6" t="s">
        <v>20</v>
      </c>
      <c r="J44" s="6"/>
    </row>
    <row r="45" customFormat="false" ht="26.85" hidden="false" customHeight="false" outlineLevel="0" collapsed="false">
      <c r="A45" s="7" t="s">
        <v>155</v>
      </c>
      <c r="B45" s="8" t="s">
        <v>59</v>
      </c>
      <c r="C45" s="8" t="s">
        <v>145</v>
      </c>
      <c r="D45" s="8" t="s">
        <v>156</v>
      </c>
      <c r="E45" s="8" t="s">
        <v>121</v>
      </c>
      <c r="F45" s="8" t="s">
        <v>17</v>
      </c>
      <c r="G45" s="8" t="s">
        <v>157</v>
      </c>
      <c r="H45" s="8" t="s">
        <v>62</v>
      </c>
      <c r="I45" s="6" t="s">
        <v>20</v>
      </c>
      <c r="J45" s="6"/>
    </row>
    <row r="46" customFormat="false" ht="26.85" hidden="false" customHeight="false" outlineLevel="0" collapsed="false">
      <c r="A46" s="7" t="s">
        <v>158</v>
      </c>
      <c r="B46" s="8" t="s">
        <v>59</v>
      </c>
      <c r="C46" s="8" t="s">
        <v>145</v>
      </c>
      <c r="D46" s="8" t="s">
        <v>159</v>
      </c>
      <c r="E46" s="8" t="s">
        <v>121</v>
      </c>
      <c r="F46" s="8" t="s">
        <v>17</v>
      </c>
      <c r="G46" s="8" t="s">
        <v>160</v>
      </c>
      <c r="H46" s="8" t="s">
        <v>62</v>
      </c>
      <c r="I46" s="6" t="s">
        <v>20</v>
      </c>
      <c r="J46" s="6"/>
    </row>
    <row r="47" customFormat="false" ht="26.85" hidden="false" customHeight="false" outlineLevel="0" collapsed="false">
      <c r="A47" s="7" t="s">
        <v>161</v>
      </c>
      <c r="B47" s="8" t="s">
        <v>59</v>
      </c>
      <c r="C47" s="8" t="s">
        <v>145</v>
      </c>
      <c r="D47" s="8" t="s">
        <v>162</v>
      </c>
      <c r="E47" s="8" t="s">
        <v>110</v>
      </c>
      <c r="F47" s="8" t="s">
        <v>17</v>
      </c>
      <c r="G47" s="8" t="s">
        <v>163</v>
      </c>
      <c r="H47" s="8" t="s">
        <v>62</v>
      </c>
      <c r="I47" s="6" t="s">
        <v>20</v>
      </c>
      <c r="J47" s="6"/>
    </row>
    <row r="48" customFormat="false" ht="26.85" hidden="false" customHeight="false" outlineLevel="0" collapsed="false">
      <c r="A48" s="7" t="s">
        <v>164</v>
      </c>
      <c r="B48" s="8" t="s">
        <v>59</v>
      </c>
      <c r="C48" s="8" t="s">
        <v>145</v>
      </c>
      <c r="D48" s="8" t="s">
        <v>165</v>
      </c>
      <c r="E48" s="8" t="s">
        <v>121</v>
      </c>
      <c r="F48" s="8" t="s">
        <v>53</v>
      </c>
      <c r="G48" s="8" t="s">
        <v>138</v>
      </c>
      <c r="H48" s="8" t="s">
        <v>62</v>
      </c>
      <c r="I48" s="6" t="s">
        <v>20</v>
      </c>
      <c r="J48" s="6"/>
    </row>
    <row r="49" customFormat="false" ht="26.85" hidden="false" customHeight="false" outlineLevel="0" collapsed="false">
      <c r="A49" s="7" t="s">
        <v>166</v>
      </c>
      <c r="B49" s="8" t="s">
        <v>59</v>
      </c>
      <c r="C49" s="8" t="s">
        <v>145</v>
      </c>
      <c r="D49" s="8" t="s">
        <v>167</v>
      </c>
      <c r="E49" s="8" t="s">
        <v>110</v>
      </c>
      <c r="F49" s="8" t="s">
        <v>53</v>
      </c>
      <c r="G49" s="8" t="s">
        <v>151</v>
      </c>
      <c r="H49" s="8" t="s">
        <v>62</v>
      </c>
      <c r="I49" s="6" t="s">
        <v>20</v>
      </c>
      <c r="J49" s="6"/>
    </row>
    <row r="50" customFormat="false" ht="26.85" hidden="false" customHeight="false" outlineLevel="0" collapsed="false">
      <c r="A50" s="7" t="s">
        <v>168</v>
      </c>
      <c r="B50" s="8" t="s">
        <v>59</v>
      </c>
      <c r="C50" s="8" t="s">
        <v>145</v>
      </c>
      <c r="D50" s="8" t="s">
        <v>169</v>
      </c>
      <c r="E50" s="8" t="s">
        <v>147</v>
      </c>
      <c r="F50" s="8" t="s">
        <v>74</v>
      </c>
      <c r="G50" s="8" t="s">
        <v>59</v>
      </c>
      <c r="H50" s="8" t="s">
        <v>62</v>
      </c>
      <c r="I50" s="6" t="s">
        <v>20</v>
      </c>
      <c r="J50" s="6"/>
    </row>
  </sheetData>
  <autoFilter ref="A4:J50"/>
  <mergeCells count="1">
    <mergeCell ref="A2:J2"/>
  </mergeCells>
  <conditionalFormatting sqref="I5:I50">
    <cfRule type="cellIs" priority="2" operator="equal" aboveAverage="0" equalAverage="0" bottom="0" percent="0" rank="0" text="" dxfId="5">
      <formula>"Odsouhlaseno"</formula>
    </cfRule>
    <cfRule type="cellIs" priority="3" operator="equal" aboveAverage="0" equalAverage="0" bottom="0" percent="0" rank="0" text="" dxfId="6">
      <formula>"Změnit"</formula>
    </cfRule>
  </conditionalFormatting>
  <dataValidations count="2">
    <dataValidation allowBlank="true" errorStyle="stop" operator="between" showDropDown="false" showErrorMessage="false" showInputMessage="false" sqref="I5:I50" type="list">
      <formula1>"Navrženo,Odsouhlaseno,Změnit,Zrušit"</formula1>
      <formula2>0</formula2>
    </dataValidation>
    <dataValidation allowBlank="true" errorStyle="stop" operator="between" showDropDown="false" showErrorMessage="false" showInputMessage="false" sqref="F5:F50" type="list">
      <formula1>"Must,Should,Could,Won't"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1" t="s">
        <v>170</v>
      </c>
    </row>
    <row r="3" customFormat="false" ht="26.85" hidden="false" customHeight="false" outlineLevel="0" collapsed="false">
      <c r="A3" s="3" t="s">
        <v>2</v>
      </c>
      <c r="B3" s="3" t="s">
        <v>171</v>
      </c>
      <c r="C3" s="3" t="s">
        <v>5</v>
      </c>
      <c r="D3" s="3" t="s">
        <v>172</v>
      </c>
      <c r="E3" s="3" t="s">
        <v>7</v>
      </c>
      <c r="F3" s="3" t="s">
        <v>9</v>
      </c>
      <c r="G3" s="3" t="s">
        <v>10</v>
      </c>
      <c r="H3" s="3" t="s">
        <v>11</v>
      </c>
    </row>
    <row r="4" customFormat="false" ht="15" hidden="false" customHeight="false" outlineLevel="0" collapsed="false">
      <c r="A4" s="4" t="s">
        <v>173</v>
      </c>
      <c r="B4" s="5" t="s">
        <v>174</v>
      </c>
      <c r="C4" s="5" t="s">
        <v>175</v>
      </c>
      <c r="D4" s="5" t="s">
        <v>176</v>
      </c>
      <c r="E4" s="5" t="s">
        <v>17</v>
      </c>
      <c r="F4" s="5" t="s">
        <v>19</v>
      </c>
      <c r="G4" s="6" t="s">
        <v>20</v>
      </c>
      <c r="H4" s="6"/>
    </row>
    <row r="5" customFormat="false" ht="26.85" hidden="false" customHeight="false" outlineLevel="0" collapsed="false">
      <c r="A5" s="4" t="s">
        <v>177</v>
      </c>
      <c r="B5" s="5" t="s">
        <v>178</v>
      </c>
      <c r="C5" s="5" t="s">
        <v>179</v>
      </c>
      <c r="D5" s="5" t="s">
        <v>180</v>
      </c>
      <c r="E5" s="5" t="s">
        <v>17</v>
      </c>
      <c r="F5" s="5" t="s">
        <v>19</v>
      </c>
      <c r="G5" s="6" t="s">
        <v>20</v>
      </c>
      <c r="H5" s="6"/>
    </row>
    <row r="6" customFormat="false" ht="26.85" hidden="false" customHeight="false" outlineLevel="0" collapsed="false">
      <c r="A6" s="4" t="s">
        <v>181</v>
      </c>
      <c r="B6" s="5" t="s">
        <v>182</v>
      </c>
      <c r="C6" s="5" t="s">
        <v>183</v>
      </c>
      <c r="D6" s="5" t="s">
        <v>184</v>
      </c>
      <c r="E6" s="5" t="s">
        <v>17</v>
      </c>
      <c r="F6" s="5" t="s">
        <v>19</v>
      </c>
      <c r="G6" s="6" t="s">
        <v>20</v>
      </c>
      <c r="H6" s="6"/>
    </row>
    <row r="7" customFormat="false" ht="26.85" hidden="false" customHeight="false" outlineLevel="0" collapsed="false">
      <c r="A7" s="4" t="s">
        <v>185</v>
      </c>
      <c r="B7" s="5" t="s">
        <v>186</v>
      </c>
      <c r="C7" s="5" t="s">
        <v>187</v>
      </c>
      <c r="D7" s="5" t="s">
        <v>188</v>
      </c>
      <c r="E7" s="5" t="s">
        <v>17</v>
      </c>
      <c r="F7" s="5" t="s">
        <v>19</v>
      </c>
      <c r="G7" s="6" t="s">
        <v>20</v>
      </c>
      <c r="H7" s="6"/>
    </row>
    <row r="8" customFormat="false" ht="15" hidden="false" customHeight="false" outlineLevel="0" collapsed="false">
      <c r="A8" s="4" t="s">
        <v>189</v>
      </c>
      <c r="B8" s="5" t="s">
        <v>190</v>
      </c>
      <c r="C8" s="5" t="s">
        <v>191</v>
      </c>
      <c r="D8" s="5" t="s">
        <v>192</v>
      </c>
      <c r="E8" s="5" t="s">
        <v>53</v>
      </c>
      <c r="F8" s="5" t="s">
        <v>19</v>
      </c>
      <c r="G8" s="6" t="s">
        <v>20</v>
      </c>
      <c r="H8" s="6"/>
    </row>
    <row r="9" customFormat="false" ht="26.85" hidden="false" customHeight="false" outlineLevel="0" collapsed="false">
      <c r="A9" s="4" t="s">
        <v>193</v>
      </c>
      <c r="B9" s="5" t="s">
        <v>186</v>
      </c>
      <c r="C9" s="5" t="s">
        <v>194</v>
      </c>
      <c r="D9" s="5" t="s">
        <v>195</v>
      </c>
      <c r="E9" s="5" t="s">
        <v>17</v>
      </c>
      <c r="F9" s="5" t="s">
        <v>19</v>
      </c>
      <c r="G9" s="6" t="s">
        <v>20</v>
      </c>
      <c r="H9" s="6"/>
    </row>
    <row r="10" customFormat="false" ht="15" hidden="false" customHeight="false" outlineLevel="0" collapsed="false">
      <c r="A10" s="4" t="s">
        <v>196</v>
      </c>
      <c r="B10" s="5" t="s">
        <v>186</v>
      </c>
      <c r="C10" s="5" t="s">
        <v>197</v>
      </c>
      <c r="D10" s="5" t="s">
        <v>188</v>
      </c>
      <c r="E10" s="5" t="s">
        <v>17</v>
      </c>
      <c r="F10" s="5" t="s">
        <v>19</v>
      </c>
      <c r="G10" s="6" t="s">
        <v>20</v>
      </c>
      <c r="H10" s="6"/>
    </row>
    <row r="11" customFormat="false" ht="26.85" hidden="false" customHeight="false" outlineLevel="0" collapsed="false">
      <c r="A11" s="4" t="s">
        <v>198</v>
      </c>
      <c r="B11" s="5" t="s">
        <v>186</v>
      </c>
      <c r="C11" s="5" t="s">
        <v>199</v>
      </c>
      <c r="D11" s="5" t="s">
        <v>188</v>
      </c>
      <c r="E11" s="5" t="s">
        <v>17</v>
      </c>
      <c r="F11" s="5" t="s">
        <v>19</v>
      </c>
      <c r="G11" s="6" t="s">
        <v>20</v>
      </c>
      <c r="H11" s="6"/>
    </row>
    <row r="12" customFormat="false" ht="15" hidden="false" customHeight="false" outlineLevel="0" collapsed="false">
      <c r="A12" s="4" t="s">
        <v>200</v>
      </c>
      <c r="B12" s="5" t="s">
        <v>190</v>
      </c>
      <c r="C12" s="5" t="s">
        <v>201</v>
      </c>
      <c r="D12" s="5" t="s">
        <v>192</v>
      </c>
      <c r="E12" s="5" t="s">
        <v>53</v>
      </c>
      <c r="F12" s="5" t="s">
        <v>19</v>
      </c>
      <c r="G12" s="6" t="s">
        <v>20</v>
      </c>
      <c r="H12" s="6"/>
    </row>
    <row r="13" customFormat="false" ht="26.85" hidden="false" customHeight="false" outlineLevel="0" collapsed="false">
      <c r="A13" s="7" t="s">
        <v>202</v>
      </c>
      <c r="B13" s="8" t="s">
        <v>59</v>
      </c>
      <c r="C13" s="8" t="s">
        <v>203</v>
      </c>
      <c r="D13" s="8" t="s">
        <v>188</v>
      </c>
      <c r="E13" s="8" t="s">
        <v>53</v>
      </c>
      <c r="F13" s="8" t="s">
        <v>62</v>
      </c>
      <c r="G13" s="6" t="s">
        <v>20</v>
      </c>
      <c r="H13" s="6"/>
    </row>
    <row r="14" customFormat="false" ht="26.85" hidden="false" customHeight="false" outlineLevel="0" collapsed="false">
      <c r="A14" s="4" t="s">
        <v>204</v>
      </c>
      <c r="B14" s="5" t="s">
        <v>190</v>
      </c>
      <c r="C14" s="5" t="s">
        <v>205</v>
      </c>
      <c r="D14" s="5" t="s">
        <v>192</v>
      </c>
      <c r="E14" s="5" t="s">
        <v>53</v>
      </c>
      <c r="F14" s="5" t="s">
        <v>19</v>
      </c>
      <c r="G14" s="6" t="s">
        <v>20</v>
      </c>
      <c r="H14" s="6"/>
    </row>
    <row r="15" customFormat="false" ht="26.85" hidden="false" customHeight="false" outlineLevel="0" collapsed="false">
      <c r="A15" s="4" t="s">
        <v>206</v>
      </c>
      <c r="B15" s="5" t="s">
        <v>178</v>
      </c>
      <c r="C15" s="5" t="s">
        <v>207</v>
      </c>
      <c r="D15" s="5" t="s">
        <v>176</v>
      </c>
      <c r="E15" s="5" t="s">
        <v>17</v>
      </c>
      <c r="F15" s="5" t="s">
        <v>19</v>
      </c>
      <c r="G15" s="6" t="s">
        <v>20</v>
      </c>
      <c r="H15" s="6"/>
    </row>
    <row r="16" customFormat="false" ht="26.85" hidden="false" customHeight="false" outlineLevel="0" collapsed="false">
      <c r="A16" s="4" t="s">
        <v>208</v>
      </c>
      <c r="B16" s="5" t="s">
        <v>182</v>
      </c>
      <c r="C16" s="5" t="s">
        <v>209</v>
      </c>
      <c r="D16" s="5" t="s">
        <v>184</v>
      </c>
      <c r="E16" s="5" t="s">
        <v>17</v>
      </c>
      <c r="F16" s="5" t="s">
        <v>19</v>
      </c>
      <c r="G16" s="6" t="s">
        <v>20</v>
      </c>
      <c r="H16" s="6"/>
    </row>
    <row r="17" customFormat="false" ht="15" hidden="false" customHeight="false" outlineLevel="0" collapsed="false">
      <c r="A17" s="4" t="s">
        <v>210</v>
      </c>
      <c r="B17" s="5" t="s">
        <v>211</v>
      </c>
      <c r="C17" s="5" t="s">
        <v>212</v>
      </c>
      <c r="D17" s="5" t="s">
        <v>176</v>
      </c>
      <c r="E17" s="5" t="s">
        <v>17</v>
      </c>
      <c r="F17" s="5" t="s">
        <v>19</v>
      </c>
      <c r="G17" s="6" t="s">
        <v>20</v>
      </c>
      <c r="H17" s="6"/>
    </row>
    <row r="18" customFormat="false" ht="15" hidden="false" customHeight="false" outlineLevel="0" collapsed="false">
      <c r="A18" s="4" t="s">
        <v>213</v>
      </c>
      <c r="B18" s="5" t="s">
        <v>182</v>
      </c>
      <c r="C18" s="5" t="s">
        <v>214</v>
      </c>
      <c r="D18" s="5" t="s">
        <v>184</v>
      </c>
      <c r="E18" s="5" t="s">
        <v>17</v>
      </c>
      <c r="F18" s="5" t="s">
        <v>19</v>
      </c>
      <c r="G18" s="6" t="s">
        <v>20</v>
      </c>
      <c r="H18" s="6"/>
    </row>
    <row r="19" customFormat="false" ht="26.85" hidden="false" customHeight="false" outlineLevel="0" collapsed="false">
      <c r="A19" s="4" t="s">
        <v>215</v>
      </c>
      <c r="B19" s="5" t="s">
        <v>211</v>
      </c>
      <c r="C19" s="5" t="s">
        <v>216</v>
      </c>
      <c r="D19" s="5" t="s">
        <v>176</v>
      </c>
      <c r="E19" s="5" t="s">
        <v>17</v>
      </c>
      <c r="F19" s="5" t="s">
        <v>217</v>
      </c>
      <c r="G19" s="6" t="s">
        <v>20</v>
      </c>
      <c r="H19" s="6"/>
    </row>
    <row r="20" customFormat="false" ht="26.85" hidden="false" customHeight="false" outlineLevel="0" collapsed="false">
      <c r="A20" s="7" t="s">
        <v>218</v>
      </c>
      <c r="B20" s="8" t="s">
        <v>59</v>
      </c>
      <c r="C20" s="8" t="s">
        <v>219</v>
      </c>
      <c r="D20" s="8" t="s">
        <v>220</v>
      </c>
      <c r="E20" s="8" t="s">
        <v>17</v>
      </c>
      <c r="F20" s="8" t="s">
        <v>62</v>
      </c>
      <c r="G20" s="6" t="s">
        <v>20</v>
      </c>
      <c r="H20" s="6"/>
    </row>
  </sheetData>
  <conditionalFormatting sqref="G4:G20">
    <cfRule type="cellIs" priority="2" operator="equal" aboveAverage="0" equalAverage="0" bottom="0" percent="0" rank="0" text="" dxfId="5">
      <formula>"Odsouhlaseno"</formula>
    </cfRule>
    <cfRule type="cellIs" priority="3" operator="equal" aboveAverage="0" equalAverage="0" bottom="0" percent="0" rank="0" text="" dxfId="6">
      <formula>"Změnit"</formula>
    </cfRule>
  </conditionalFormatting>
  <dataValidations count="2">
    <dataValidation allowBlank="true" errorStyle="stop" operator="between" showDropDown="false" showErrorMessage="false" showInputMessage="false" sqref="G4:G20" type="list">
      <formula1>"Navrženo,Odsouhlaseno,Změnit,Zrušit"</formula1>
      <formula2>0</formula2>
    </dataValidation>
    <dataValidation allowBlank="true" errorStyle="stop" operator="between" showDropDown="false" showErrorMessage="false" showInputMessage="false" sqref="E4:E20" type="list">
      <formula1>"Must,Should,Could,Won't"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221</v>
      </c>
    </row>
    <row r="3" customFormat="false" ht="15" hidden="false" customHeight="false" outlineLevel="0" collapsed="false">
      <c r="A3" s="3" t="s">
        <v>222</v>
      </c>
      <c r="B3" s="3" t="s">
        <v>223</v>
      </c>
    </row>
    <row r="4" customFormat="false" ht="15" hidden="false" customHeight="false" outlineLevel="0" collapsed="false">
      <c r="A4" s="5" t="n">
        <v>1</v>
      </c>
      <c r="B4" s="5" t="s">
        <v>224</v>
      </c>
    </row>
    <row r="5" customFormat="false" ht="15" hidden="false" customHeight="false" outlineLevel="0" collapsed="false">
      <c r="A5" s="5" t="n">
        <v>2</v>
      </c>
      <c r="B5" s="5" t="s">
        <v>225</v>
      </c>
    </row>
    <row r="6" customFormat="false" ht="15" hidden="false" customHeight="false" outlineLevel="0" collapsed="false">
      <c r="A6" s="5" t="n">
        <v>3</v>
      </c>
      <c r="B6" s="5" t="s">
        <v>226</v>
      </c>
    </row>
    <row r="7" customFormat="false" ht="15" hidden="false" customHeight="false" outlineLevel="0" collapsed="false">
      <c r="A7" s="5" t="n">
        <v>4</v>
      </c>
      <c r="B7" s="5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228</v>
      </c>
    </row>
    <row r="3" customFormat="false" ht="26.85" hidden="false" customHeight="false" outlineLevel="0" collapsed="false">
      <c r="A3" s="3" t="s">
        <v>4</v>
      </c>
      <c r="B3" s="3" t="s">
        <v>229</v>
      </c>
      <c r="C3" s="3" t="s">
        <v>17</v>
      </c>
      <c r="D3" s="3" t="s">
        <v>230</v>
      </c>
      <c r="E3" s="3" t="s">
        <v>231</v>
      </c>
    </row>
    <row r="4" customFormat="false" ht="15" hidden="false" customHeight="false" outlineLevel="0" collapsed="false">
      <c r="A4" s="5" t="s">
        <v>14</v>
      </c>
      <c r="B4" s="5" t="n">
        <f aca="false">COUNTIF('Funkční požadavky'!$C$5:$C$50,A4)</f>
        <v>16</v>
      </c>
      <c r="C4" s="5" t="n">
        <f aca="false">COUNTIFS('Funkční požadavky'!$C$5:$C$50,A4,'Funkční požadavky'!$F$5:$F$50,"Must")</f>
        <v>10</v>
      </c>
      <c r="D4" s="5" t="n">
        <f aca="false">COUNTIFS('Funkční požadavky'!$C$5:$C$50,A4,'Funkční požadavky'!$I$5:$I$50,"Odsouhlaseno")</f>
        <v>0</v>
      </c>
      <c r="E4" s="9" t="n">
        <f aca="false">IF(B4=0,0,D4/B4)</f>
        <v>0</v>
      </c>
    </row>
    <row r="5" customFormat="false" ht="15" hidden="false" customHeight="false" outlineLevel="0" collapsed="false">
      <c r="A5" s="5" t="s">
        <v>76</v>
      </c>
      <c r="B5" s="5" t="n">
        <f aca="false">COUNTIF('Funkční požadavky'!$C$5:$C$50,A5)</f>
        <v>13</v>
      </c>
      <c r="C5" s="5" t="n">
        <f aca="false">COUNTIFS('Funkční požadavky'!$C$5:$C$50,A5,'Funkční požadavky'!$F$5:$F$50,"Must")</f>
        <v>11</v>
      </c>
      <c r="D5" s="5" t="n">
        <f aca="false">COUNTIFS('Funkční požadavky'!$C$5:$C$50,A5,'Funkční požadavky'!$I$5:$I$50,"Odsouhlaseno")</f>
        <v>0</v>
      </c>
      <c r="E5" s="9" t="n">
        <f aca="false">IF(B5=0,0,D5/B5)</f>
        <v>0</v>
      </c>
    </row>
    <row r="6" customFormat="false" ht="15" hidden="false" customHeight="false" outlineLevel="0" collapsed="false">
      <c r="A6" s="5" t="s">
        <v>119</v>
      </c>
      <c r="B6" s="5" t="n">
        <f aca="false">COUNTIF('Funkční požadavky'!$C$5:$C$50,A6)</f>
        <v>8</v>
      </c>
      <c r="C6" s="5" t="n">
        <f aca="false">COUNTIFS('Funkční požadavky'!$C$5:$C$50,A6,'Funkční požadavky'!$F$5:$F$50,"Must")</f>
        <v>6</v>
      </c>
      <c r="D6" s="5" t="n">
        <f aca="false">COUNTIFS('Funkční požadavky'!$C$5:$C$50,A6,'Funkční požadavky'!$I$5:$I$50,"Odsouhlaseno")</f>
        <v>0</v>
      </c>
      <c r="E6" s="9" t="n">
        <f aca="false">IF(B6=0,0,D6/B6)</f>
        <v>0</v>
      </c>
    </row>
    <row r="7" customFormat="false" ht="15" hidden="false" customHeight="false" outlineLevel="0" collapsed="false">
      <c r="A7" s="5" t="s">
        <v>145</v>
      </c>
      <c r="B7" s="5" t="n">
        <f aca="false">COUNTIF('Funkční požadavky'!$C$5:$C$50,A7)</f>
        <v>9</v>
      </c>
      <c r="C7" s="5" t="n">
        <f aca="false">COUNTIFS('Funkční požadavky'!$C$5:$C$50,A7,'Funkční požadavky'!$F$5:$F$50,"Must")</f>
        <v>6</v>
      </c>
      <c r="D7" s="5" t="n">
        <f aca="false">COUNTIFS('Funkční požadavky'!$C$5:$C$50,A7,'Funkční požadavky'!$I$5:$I$50,"Odsouhlaseno")</f>
        <v>0</v>
      </c>
      <c r="E7" s="9" t="n">
        <f aca="false">IF(B7=0,0,D7/B7)</f>
        <v>0</v>
      </c>
    </row>
    <row r="8" customFormat="false" ht="15" hidden="false" customHeight="false" outlineLevel="0" collapsed="false">
      <c r="A8" s="5" t="s">
        <v>232</v>
      </c>
      <c r="B8" s="5" t="n">
        <f aca="false">COUNTA('Nefunkční požadavky'!$A$4:$A$20)</f>
        <v>17</v>
      </c>
      <c r="C8" s="5" t="n">
        <f aca="false">COUNTIF('Nefunkční požadavky'!$E$4:$E$20,"Must")</f>
        <v>13</v>
      </c>
      <c r="D8" s="5" t="n">
        <f aca="false">COUNTIF('Nefunkční požadavky'!$G$4:$G$20,"Odsouhlaseno")</f>
        <v>0</v>
      </c>
      <c r="E8" s="9" t="n">
        <f aca="false">IF(B8=0,0,D8/B8)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2026-10-29T15:00:14Z</dcterms:created>
  <dc:creator>openpyxl</dc:creator>
  <dc:description/>
  <dc:language>en-US</dc:language>
  <cp:lastModifiedBy/>
  <dcterms:modified xsi:type="dcterms:W3CDTF">2026-10-29T15:00:14Z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