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5" autoFilterDateGrouping="1"/>
  </bookViews>
  <sheets>
    <sheet xmlns:r="http://schemas.openxmlformats.org/officeDocument/2006/relationships" name="Rozdělení rolí" sheetId="1" state="visible" r:id="rId1"/>
    <sheet xmlns:r="http://schemas.openxmlformats.org/officeDocument/2006/relationships" name="Rozhodnutí" sheetId="2" state="visible" r:id="rId2"/>
    <sheet xmlns:r="http://schemas.openxmlformats.org/officeDocument/2006/relationships" name="Úkoly" sheetId="3" state="visible" r:id="rId3"/>
    <sheet xmlns:r="http://schemas.openxmlformats.org/officeDocument/2006/relationships" name="Osnova kroků" sheetId="4" state="visible" r:id="rId4"/>
    <sheet xmlns:r="http://schemas.openxmlformats.org/officeDocument/2006/relationships" name="Přehled" sheetId="5" state="visible" r:id="rId5"/>
    <sheet xmlns:r="http://schemas.openxmlformats.org/officeDocument/2006/relationships" name="Harmonogram" sheetId="6" state="visible" r:id="rId6"/>
  </sheets>
  <definedNames>
    <definedName name="_xlnm._FilterDatabase" localSheetId="2" hidden="1">'Úkoly'!$A$4:$H$37</definedName>
    <definedName name="_xlnm._FilterDatabase" localSheetId="3" hidden="1">'Osnova kroků'!$A$4:$G$171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dd\.mm\."/>
  </numFmts>
  <fonts count="6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b val="1"/>
      <color rgb="FFFFFFFF"/>
      <sz val="11"/>
    </font>
    <font>
      <name val="Arial"/>
      <charset val="1"/>
      <i val="1"/>
      <sz val="11"/>
    </font>
  </fonts>
  <fills count="9">
    <fill>
      <patternFill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9" fontId="2" fillId="4" borderId="1" applyAlignment="1" pivotButton="0" quotePrefix="0" xfId="0">
      <alignment vertical="top" wrapText="1"/>
    </xf>
    <xf numFmtId="165" fontId="3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165" fontId="3" fillId="8" borderId="1" applyAlignment="1" pivotButton="0" quotePrefix="0" xfId="0">
      <alignment vertical="top" wrapText="1"/>
    </xf>
    <xf numFmtId="164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ální" xfId="0" builtinId="0"/>
  </cellStyles>
  <dxfs count="4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7109375" defaultRowHeight="15"/>
  <cols>
    <col width="24" customWidth="1" min="1" max="1"/>
    <col width="38" customWidth="1" min="2" max="5"/>
  </cols>
  <sheetData>
    <row r="1" ht="18" customHeight="1">
      <c r="A1" s="2" t="inlineStr">
        <is>
          <t>Rozdělení projektu SI2 – telemedicínský systém pro mladé dospělé (18–40) s hypertenzí – vliv soli a energetických nápojů</t>
        </is>
      </c>
    </row>
    <row r="2">
      <c r="A2" s="3" t="inlineStr">
        <is>
          <t>Člen týmu (doplňte jméno):</t>
        </is>
      </c>
      <c r="B2" s="4" t="inlineStr">
        <is>
          <t>Maky</t>
        </is>
      </c>
      <c r="C2" s="4" t="inlineStr">
        <is>
          <t>Sabi</t>
        </is>
      </c>
      <c r="D2" s="4" t="inlineStr">
        <is>
          <t>Ema</t>
        </is>
      </c>
      <c r="E2" s="4" t="inlineStr">
        <is>
          <t>Domi (možná převezme Sabi – upřesnit)</t>
        </is>
      </c>
    </row>
    <row r="4">
      <c r="A4" s="5" t="inlineStr">
        <is>
          <t>Oblast</t>
        </is>
      </c>
      <c r="B4" s="5" t="inlineStr">
        <is>
          <t>1 – Pacientská část</t>
        </is>
      </c>
      <c r="C4" s="5" t="inlineStr">
        <is>
          <t>2 – Webový portál</t>
        </is>
      </c>
      <c r="D4" s="5" t="inlineStr">
        <is>
          <t>3 – WEB API + databáze</t>
        </is>
      </c>
      <c r="E4" s="5" t="inlineStr">
        <is>
          <t>4 – Integrátor NIS (FHIR)</t>
        </is>
      </c>
    </row>
    <row r="5" ht="57" customHeight="1">
      <c r="A5" s="6" t="inlineStr">
        <is>
          <t>Blok systému</t>
        </is>
      </c>
      <c r="B5" s="7" t="inlineStr">
        <is>
          <t>Tlakoměr s Bluetooth + pacientská aplikace (mobil), sledování fyzické aktivity, rychlý záznam soli a energetických nápojů</t>
        </is>
      </c>
      <c r="C5" s="7" t="inlineStr">
        <is>
          <t>Portál pro pacienty a lékaře, role a oprávnění, graf tlak × životospráva</t>
        </is>
      </c>
      <c r="D5" s="7" t="inlineStr">
        <is>
          <t>Zabezpečené API, zpracování dat, autentizace</t>
        </is>
      </c>
      <c r="E5" s="7" t="inlineStr">
        <is>
          <t>Synchronizace s NIS, nastavení periody, mailové notifikace</t>
        </is>
      </c>
    </row>
    <row r="6">
      <c r="A6" s="6" t="inlineStr">
        <is>
          <t>Use case diagram</t>
        </is>
      </c>
      <c r="B6" s="7" t="inlineStr">
        <is>
          <t>Pacientská aplikace</t>
        </is>
      </c>
      <c r="C6" s="7" t="inlineStr">
        <is>
          <t>Webový portál</t>
        </is>
      </c>
      <c r="D6" s="7" t="inlineStr">
        <is>
          <t>WEB API</t>
        </is>
      </c>
      <c r="E6" s="7" t="inlineStr">
        <is>
          <t>Integrátor</t>
        </is>
      </c>
    </row>
    <row r="7" ht="42.75" customHeight="1">
      <c r="A7" s="6" t="inlineStr">
        <is>
          <t>Stavové diagramy (min. 5 celkem)</t>
        </is>
      </c>
      <c r="B7" s="7" t="inlineStr">
        <is>
          <t>2: připojení senzoru (párování/BLE); měření a odeslání dat vč. offline režimu</t>
        </is>
      </c>
      <c r="C7" s="7" t="inlineStr">
        <is>
          <t>1: životní cyklus upozornění/alertu pro lékaře</t>
        </is>
      </c>
      <c r="D7" s="7" t="inlineStr">
        <is>
          <t>1: zpracování přijatého záznamu (validace → uložení → chyba) nebo přihlášení/token</t>
        </is>
      </c>
      <c r="E7" s="7" t="inlineStr">
        <is>
          <t>1: synchronizace s NIS (čeká → synchronizuje → chyba spojení → notifikace)</t>
        </is>
      </c>
    </row>
    <row r="8" ht="28.5" customHeight="1">
      <c r="A8" s="6" t="inlineStr">
        <is>
          <t>Návrh databáze</t>
        </is>
      </c>
      <c r="B8" s="7" t="inlineStr">
        <is>
          <t>Dodá požadavky na data</t>
        </is>
      </c>
      <c r="C8" s="7" t="inlineStr">
        <is>
          <t>Dodá požadavky na data</t>
        </is>
      </c>
      <c r="D8" s="7" t="inlineStr">
        <is>
          <t>Vlastní ER návrh (min. 6 tabulek × 4 sloupce)</t>
        </is>
      </c>
      <c r="E8" s="7" t="inlineStr">
        <is>
          <t>Dodá mapování na FHIR zdroje</t>
        </is>
      </c>
    </row>
    <row r="9" ht="28.5" customHeight="1">
      <c r="A9" s="6" t="inlineStr">
        <is>
          <t>Návrh GUI</t>
        </is>
      </c>
      <c r="B9" s="7" t="inlineStr">
        <is>
          <t>Mobilní aplikace</t>
        </is>
      </c>
      <c r="C9" s="7" t="inlineStr">
        <is>
          <t>Webový portál</t>
        </is>
      </c>
      <c r="D9" s="7" t="inlineStr">
        <is>
          <t>–</t>
        </is>
      </c>
      <c r="E9" s="7" t="inlineStr">
        <is>
          <t>Případně obrazovka nastavení integrátoru</t>
        </is>
      </c>
    </row>
    <row r="10" ht="57" customHeight="1">
      <c r="A10" s="6" t="inlineStr">
        <is>
          <t>Průřezová kapitola</t>
        </is>
      </c>
      <c r="B10" s="7" t="inlineStr">
        <is>
          <t>Údržba + distribuce updatů (store, OTA updaty firmwaru tlakoměru)</t>
        </is>
      </c>
      <c r="C10" s="7" t="inlineStr">
        <is>
          <t>Testování (postup, typy testů, testy při nasazení)</t>
        </is>
      </c>
      <c r="D10" s="7" t="inlineStr">
        <is>
          <t>Implementace (technologie, softwarový proces, verzovací systém, build server)</t>
        </is>
      </c>
      <c r="E10" s="7" t="inlineStr">
        <is>
          <t>Úvod (problém, úvod do problematiky, přehled současných řešení) + Nasazení (popis, požadavky na prostředí)</t>
        </is>
      </c>
    </row>
    <row r="11">
      <c r="A11" s="6" t="inlineStr">
        <is>
          <t>Slidy do prezentace</t>
        </is>
      </c>
      <c r="B11" s="7" t="inlineStr">
        <is>
          <t>2–3 slidy ke svému bloku</t>
        </is>
      </c>
      <c r="C11" s="7" t="inlineStr">
        <is>
          <t>2–3 slidy ke svému bloku</t>
        </is>
      </c>
      <c r="D11" s="7" t="inlineStr">
        <is>
          <t>2–3 slidy ke svému bloku</t>
        </is>
      </c>
      <c r="E11" s="7" t="inlineStr">
        <is>
          <t>2–3 slidy ke svému bloku</t>
        </is>
      </c>
    </row>
    <row r="13">
      <c r="A13" s="3" t="inlineStr">
        <is>
          <t>Proč je to vyrovnané:</t>
        </is>
      </c>
    </row>
    <row r="14" ht="45" customHeight="1">
      <c r="A14" s="1" t="inlineStr">
        <is>
          <t>Role 3 má nejtěžší technický návrh (API + DB), proto jen jednu průřezovou kapitolu. Role 4 má technicky nejmenší blok, proto bere Úvod i Nasazení. Role 1 má dva stavové diagramy (senzor i aplikace). Cíl: cca 5 stran z 20 na osobu.</t>
        </is>
      </c>
    </row>
  </sheetData>
  <mergeCells count="1">
    <mergeCell ref="A14:E1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48" customWidth="1" min="2" max="2"/>
    <col width="40" customWidth="1" min="3" max="3"/>
    <col width="48" customWidth="1" min="4" max="4"/>
    <col width="12" customWidth="1" min="5" max="5"/>
  </cols>
  <sheetData>
    <row r="1" ht="18" customHeight="1">
      <c r="A1" s="2" t="inlineStr">
        <is>
          <t>Rozhodnutí a otázky na vyučující</t>
        </is>
      </c>
    </row>
    <row r="2">
      <c r="A2" s="8" t="inlineStr">
        <is>
          <t>Konzultující: Jiří Trnka, Sarrah. Hlavní je umět systém odprezentovat a rozumět mu. Otevřené otázky se zeptejte na další konzultaci a doplňte odpověď.</t>
        </is>
      </c>
    </row>
    <row r="4">
      <c r="A4" s="5" t="inlineStr">
        <is>
          <t>#</t>
        </is>
      </c>
      <c r="B4" s="5" t="inlineStr">
        <is>
          <t>Otázka</t>
        </is>
      </c>
      <c r="C4" s="5" t="inlineStr">
        <is>
          <t>Odpověď vyučujících</t>
        </is>
      </c>
      <c r="D4" s="5" t="inlineStr">
        <is>
          <t>Naše rozhodnutí / výchozí volba</t>
        </is>
      </c>
      <c r="E4" s="5" t="inlineStr">
        <is>
          <t>Stav</t>
        </is>
      </c>
    </row>
    <row r="5" ht="28.5" customHeight="1">
      <c r="A5" s="7" t="n">
        <v>1</v>
      </c>
      <c r="B5" s="7" t="inlineStr">
        <is>
          <t>Use case diagramy – minima</t>
        </is>
      </c>
      <c r="C5" s="7" t="inlineStr">
        <is>
          <t>V každém ze 4 diagramů min. 2 aktéři × 4 use casy</t>
        </is>
      </c>
      <c r="D5" s="7" t="inlineStr">
        <is>
          <t>4 samostatné diagramy, každý splní minima sám</t>
        </is>
      </c>
      <c r="E5" s="9" t="inlineStr">
        <is>
          <t>Vyřešeno</t>
        </is>
      </c>
    </row>
    <row r="6">
      <c r="A6" s="7" t="n">
        <v>2</v>
      </c>
      <c r="B6" s="7" t="inlineStr">
        <is>
          <t>Stavové diagramy – minimum 5</t>
        </is>
      </c>
      <c r="C6" s="7" t="inlineStr">
        <is>
          <t>Pro celý tým</t>
        </is>
      </c>
      <c r="D6" s="7" t="inlineStr">
        <is>
          <t>Plánujeme 6 (role 1: 2, ostatní po 1)</t>
        </is>
      </c>
      <c r="E6" s="9" t="inlineStr">
        <is>
          <t>Vyřešeno</t>
        </is>
      </c>
    </row>
    <row r="7">
      <c r="A7" s="7" t="n">
        <v>3</v>
      </c>
      <c r="B7" s="7" t="inlineStr">
        <is>
          <t>Choroba</t>
        </is>
      </c>
      <c r="C7" s="7" t="inlineStr">
        <is>
          <t>Víc týmů smí mít stejnou</t>
        </is>
      </c>
      <c r="D7" s="7" t="inlineStr">
        <is>
          <t>Hypertenze, nahlášeno 8.10.</t>
        </is>
      </c>
      <c r="E7" s="9" t="inlineStr">
        <is>
          <t>Vyřešeno</t>
        </is>
      </c>
    </row>
    <row r="8" ht="42.75" customHeight="1">
      <c r="A8" s="7" t="n">
        <v>4</v>
      </c>
      <c r="B8" s="7" t="inlineStr">
        <is>
          <t>Cílová skupina a zaměření</t>
        </is>
      </c>
      <c r="C8" s="7" t="inlineStr">
        <is>
          <t>—</t>
        </is>
      </c>
      <c r="D8" s="7" t="inlineStr">
        <is>
          <t>Mladí dospělí 18–40 let; vliv soli a energetických nápojů (ruční rychlý záznam); děti a těhotné vyloučeny</t>
        </is>
      </c>
      <c r="E8" s="9" t="inlineStr">
        <is>
          <t>Rozhodnuto týmem</t>
        </is>
      </c>
    </row>
    <row r="9" ht="28.5" customHeight="1">
      <c r="A9" s="7" t="n">
        <v>5</v>
      </c>
      <c r="B9" s="7" t="inlineStr">
        <is>
          <t>Termíny</t>
        </is>
      </c>
      <c r="C9" s="7" t="inlineStr">
        <is>
          <t>Nahlášení choroby 8.10., zápočet 6.1.2027</t>
        </is>
      </c>
      <c r="D9" s="7" t="inlineStr">
        <is>
          <t>Harmonogram upraven</t>
        </is>
      </c>
      <c r="E9" s="9" t="inlineStr">
        <is>
          <t>Vyřešeno</t>
        </is>
      </c>
    </row>
    <row r="10">
      <c r="A10" s="7" t="n">
        <v>6</v>
      </c>
      <c r="B10" s="7" t="inlineStr">
        <is>
          <t>Diagramy v rozsahu 20 stran / přílohy</t>
        </is>
      </c>
      <c r="C10" s="7" t="inlineStr">
        <is>
          <t>Asi ano</t>
        </is>
      </c>
      <c r="D10" s="7" t="inlineStr">
        <is>
          <t>Velké diagramy do příloh, v textu zmenšené</t>
        </is>
      </c>
      <c r="E10" s="9" t="inlineStr">
        <is>
          <t>Vyřešeno</t>
        </is>
      </c>
    </row>
    <row r="11" ht="28.5" customHeight="1">
      <c r="A11" s="7" t="n">
        <v>7</v>
      </c>
      <c r="B11" s="7" t="inlineStr">
        <is>
          <t>Odevzdání</t>
        </is>
      </c>
      <c r="C11" s="7" t="inlineStr">
        <is>
          <t>Vše na GitHub; soubory z OneDrive nahrát na konci</t>
        </is>
      </c>
      <c r="D11" s="7" t="inlineStr">
        <is>
          <t>Úkol #32</t>
        </is>
      </c>
      <c r="E11" s="9" t="inlineStr">
        <is>
          <t>Vyřešeno</t>
        </is>
      </c>
    </row>
    <row r="12">
      <c r="A12" s="7" t="n">
        <v>8</v>
      </c>
      <c r="B12" s="7" t="inlineStr">
        <is>
          <t>Nástroj na diagramy</t>
        </is>
      </c>
      <c r="C12" s="7" t="inlineStr">
        <is>
          <t>draw.io</t>
        </is>
      </c>
      <c r="D12" s="7" t="inlineStr">
        <is>
          <t>Společná šablona stylu v /spolecne</t>
        </is>
      </c>
      <c r="E12" s="9" t="inlineStr">
        <is>
          <t>Vyřešeno</t>
        </is>
      </c>
    </row>
    <row r="13" ht="28.5" customHeight="1">
      <c r="A13" s="7" t="n">
        <v>9</v>
      </c>
      <c r="B13" s="7" t="inlineStr">
        <is>
          <t>Technologie v návrhu</t>
        </is>
      </c>
      <c r="C13" s="7" t="inlineStr">
        <is>
          <t>Snad ano – návrh nezávislý, technologie až v Implementaci</t>
        </is>
      </c>
      <c r="D13" s="7" t="inlineStr">
        <is>
          <t>Držíme se toho; při konzultaci potvrdit</t>
        </is>
      </c>
      <c r="E13" s="9" t="inlineStr">
        <is>
          <t>Vyřešeno</t>
        </is>
      </c>
    </row>
    <row r="14">
      <c r="A14" s="7" t="n">
        <v>10</v>
      </c>
      <c r="B14" s="7" t="inlineStr">
        <is>
          <t>Přehled současných řešení</t>
        </is>
      </c>
      <c r="C14" s="7" t="inlineStr">
        <is>
          <t>Ta důležitá</t>
        </is>
      </c>
      <c r="D14" s="7" t="inlineStr">
        <is>
          <t>3–5 hlavních řešení v tabulce</t>
        </is>
      </c>
      <c r="E14" s="9" t="inlineStr">
        <is>
          <t>Vyřešeno</t>
        </is>
      </c>
    </row>
    <row r="15">
      <c r="A15" s="7" t="n">
        <v>11</v>
      </c>
      <c r="B15" s="7" t="inlineStr">
        <is>
          <t>Pacientská aplikace mobil/PC</t>
        </is>
      </c>
      <c r="C15" s="7" t="inlineStr">
        <is>
          <t>Volba je na nás</t>
        </is>
      </c>
      <c r="D15" s="7" t="inlineStr">
        <is>
          <t>Mobilní aplikace</t>
        </is>
      </c>
      <c r="E15" s="9" t="inlineStr">
        <is>
          <t>Vyřešeno</t>
        </is>
      </c>
    </row>
    <row r="16">
      <c r="A16" s="7" t="n">
        <v>12</v>
      </c>
      <c r="B16" s="7" t="inlineStr">
        <is>
          <t>Co na konzultaci 12.11.</t>
        </is>
      </c>
      <c r="C16" s="7" t="inlineStr">
        <is>
          <t>Asi diagramy</t>
        </is>
      </c>
      <c r="D16" s="7" t="inlineStr">
        <is>
          <t>Všechny diagramy hotové do 11.11.</t>
        </is>
      </c>
      <c r="E16" s="9" t="inlineStr">
        <is>
          <t>Vyřešeno</t>
        </is>
      </c>
    </row>
    <row r="17">
      <c r="A17" s="7" t="n">
        <v>13</v>
      </c>
      <c r="B17" s="7" t="inlineStr">
        <is>
          <t>AI nástroje</t>
        </is>
      </c>
      <c r="C17" s="7" t="inlineStr">
        <is>
          <t>Smíme, není třeba uvádět</t>
        </is>
      </c>
      <c r="D17" s="7" t="inlineStr">
        <is>
          <t>—</t>
        </is>
      </c>
      <c r="E17" s="9" t="inlineStr">
        <is>
          <t>Vyřešeno</t>
        </is>
      </c>
    </row>
    <row r="18">
      <c r="A18" s="7" t="n">
        <v>14</v>
      </c>
      <c r="B18" s="7" t="inlineStr">
        <is>
          <t>GitHub</t>
        </is>
      </c>
      <c r="C18" s="7" t="inlineStr">
        <is>
          <t>Používání se hodnotí, přístup až na konci</t>
        </is>
      </c>
      <c r="D18" s="7" t="inlineStr">
        <is>
          <t>Průběžné commity, vyučující přidat na konci (#32)</t>
        </is>
      </c>
      <c r="E18" s="9" t="inlineStr">
        <is>
          <t>Vyřešeno</t>
        </is>
      </c>
    </row>
    <row r="19">
      <c r="A19" s="7" t="n">
        <v>15</v>
      </c>
      <c r="B19" s="7" t="inlineStr">
        <is>
          <t>Šablona dokumentu a citační norma</t>
        </is>
      </c>
      <c r="C19" s="10" t="inlineStr">
        <is>
          <t>—</t>
        </is>
      </c>
      <c r="D19" s="7" t="inlineStr">
        <is>
          <t>Výchozí: ISO 690; zeptat se</t>
        </is>
      </c>
      <c r="E19" s="11" t="inlineStr">
        <is>
          <t>Otevřené</t>
        </is>
      </c>
    </row>
    <row r="20" ht="28.5" customHeight="1">
      <c r="A20" s="7" t="n">
        <v>16</v>
      </c>
      <c r="B20" s="7" t="inlineStr">
        <is>
          <t>Konkrétní reálný tlakoměr? Aktivita z telefonu nebo nositelného zařízení?</t>
        </is>
      </c>
      <c r="C20" s="10" t="inlineStr">
        <is>
          <t>Nevím</t>
        </is>
      </c>
      <c r="D20" s="7" t="inlineStr">
        <is>
          <t>Obecný validovaný pažní tlakoměr s BLE; aktivita z telefonu, volitelně náramek</t>
        </is>
      </c>
      <c r="E20" s="11" t="inlineStr">
        <is>
          <t>Otevřené</t>
        </is>
      </c>
    </row>
    <row r="21" ht="28.5" customHeight="1">
      <c r="A21" s="7" t="n">
        <v>17</v>
      </c>
      <c r="B21" s="7" t="inlineStr">
        <is>
          <t>Hodnocení: tým vs. jednotlivci, vliv výkazu %, prezentuje každý?</t>
        </is>
      </c>
      <c r="C21" s="10" t="inlineStr">
        <is>
          <t>Nevím</t>
        </is>
      </c>
      <c r="D21" s="7" t="inlineStr">
        <is>
          <t>Připravit se, že prezentuje a odpovídá každý (#33)</t>
        </is>
      </c>
      <c r="E21" s="11" t="inlineStr">
        <is>
          <t>Otevřené</t>
        </is>
      </c>
    </row>
    <row r="22" ht="28.5" customHeight="1">
      <c r="A22" s="7" t="n">
        <v>18</v>
      </c>
      <c r="B22" s="7" t="inlineStr">
        <is>
          <t>FHIR: stačí mapování, nebo i ukázkové JSON zprávy? Verze?</t>
        </is>
      </c>
      <c r="C22" s="10" t="inlineStr">
        <is>
          <t>Nevím</t>
        </is>
      </c>
      <c r="D22" s="7" t="inlineStr">
        <is>
          <t>R4; mapovací tabulka + 1 ukázková zpráva</t>
        </is>
      </c>
      <c r="E22" s="11" t="inlineStr">
        <is>
          <t>Otevřené</t>
        </is>
      </c>
    </row>
    <row r="23" ht="28.5" customHeight="1">
      <c r="A23" s="7" t="n">
        <v>19</v>
      </c>
      <c r="B23" s="7" t="inlineStr">
        <is>
          <t>Směr komunikace s NIS</t>
        </is>
      </c>
      <c r="C23" s="10" t="inlineStr">
        <is>
          <t>Nevím</t>
        </is>
      </c>
      <c r="D23" s="7" t="inlineStr">
        <is>
          <t>Odesílání měření do NIS; volitelně načtení údajů pacienta</t>
        </is>
      </c>
      <c r="E23" s="11" t="inlineStr">
        <is>
          <t>Otevřené</t>
        </is>
      </c>
    </row>
    <row r="24" ht="28.5" customHeight="1">
      <c r="A24" s="7" t="n">
        <v>20</v>
      </c>
      <c r="B24" s="7" t="inlineStr">
        <is>
          <t>Posílat záznamy životosprávy (sůl, energetické nápoje) do NIS?</t>
        </is>
      </c>
      <c r="C24" s="10" t="inlineStr">
        <is>
          <t>—</t>
        </is>
      </c>
      <c r="D24" s="7" t="inlineStr">
        <is>
          <t>Týdenní souhrn jako FHIR Observation (social-history)</t>
        </is>
      </c>
      <c r="E24" s="11" t="inlineStr">
        <is>
          <t>Otevřené</t>
        </is>
      </c>
    </row>
    <row r="25">
      <c r="A25" s="7" t="n">
        <v>21</v>
      </c>
      <c r="B25" s="7" t="inlineStr">
        <is>
          <t>Je zaměření na mladé a životosprávu v pořádku?</t>
        </is>
      </c>
      <c r="C25" s="10" t="inlineStr">
        <is>
          <t>—</t>
        </is>
      </c>
      <c r="D25" s="7" t="inlineStr">
        <is>
          <t>Ověřit na konzultaci</t>
        </is>
      </c>
      <c r="E25" s="11" t="inlineStr">
        <is>
          <t>Otevřené</t>
        </is>
      </c>
    </row>
    <row r="26">
      <c r="A26" s="7" t="n">
        <v>22</v>
      </c>
      <c r="B26" s="7" t="inlineStr">
        <is>
          <t>Rozdělení rolí</t>
        </is>
      </c>
      <c r="C26" s="7" t="inlineStr">
        <is>
          <t>—</t>
        </is>
      </c>
      <c r="D26" s="7" t="inlineStr">
        <is>
          <t>Maky = 1, Sabi = 2, Ema = 3, Domi = 4</t>
        </is>
      </c>
      <c r="E26" s="7" t="inlineStr">
        <is>
          <t>Vyřešeno</t>
        </is>
      </c>
    </row>
    <row r="27">
      <c r="A27" s="7" t="n">
        <v>23</v>
      </c>
      <c r="B27" s="7" t="inlineStr">
        <is>
          <t>Prototyp, nebo jen dokumentace?</t>
        </is>
      </c>
      <c r="C27" s="7" t="inlineStr">
        <is>
          <t>Nejspíš jen dokumentace</t>
        </is>
      </c>
      <c r="D27" s="7" t="inlineStr">
        <is>
          <t>Žádná implementace – texty psát jako návrh („systém bude…“), slova MVP/simulace/funkční prototyp odstranit (Maky/04, Ema bod 5)</t>
        </is>
      </c>
      <c r="E27" s="7" t="inlineStr">
        <is>
          <t>Ověřit na konzultaci</t>
        </is>
      </c>
    </row>
    <row r="28">
      <c r="A28" s="7" t="n">
        <v>24</v>
      </c>
      <c r="B28" s="7" t="inlineStr">
        <is>
          <t>Technologie portálu</t>
        </is>
      </c>
      <c r="C28" s="7" t="inlineStr">
        <is>
          <t>—</t>
        </is>
      </c>
      <c r="D28" s="7" t="inlineStr">
        <is>
          <t>Návrh: React + TypeScript (SPA), graf. knihovna, klient generovaný z OpenAPI, přihlášení přes stejný OIDC jako API</t>
        </is>
      </c>
      <c r="E28" s="7" t="inlineStr">
        <is>
          <t>Otevřené</t>
        </is>
      </c>
    </row>
    <row r="29">
      <c r="A29" s="7" t="n">
        <v>25</v>
      </c>
      <c r="B29" s="7" t="inlineStr">
        <is>
          <t>Kdo dělá roli 4 (integrátor, Úvod, Nasazení)?</t>
        </is>
      </c>
      <c r="C29" s="7" t="inlineStr">
        <is>
          <t>—</t>
        </is>
      </c>
      <c r="D29" s="7" t="inlineStr">
        <is>
          <t>Domi zatím nic; možná převezme Sabi – rozhodnout v týmu a promítnout do výkazu práce</t>
        </is>
      </c>
      <c r="E29" s="7" t="inlineStr">
        <is>
          <t>Otevřené</t>
        </is>
      </c>
    </row>
    <row r="30">
      <c r="A30" s="7" t="n">
        <v>26</v>
      </c>
      <c r="B30" s="7" t="inlineStr">
        <is>
          <t>Doba eskalace urgentního alertu</t>
        </is>
      </c>
      <c r="C30" s="7" t="inlineStr">
        <is>
          <t>—</t>
        </is>
      </c>
      <c r="D30" s="7" t="inlineStr">
        <is>
          <t>2 h v ordinační době, mimo ni ihned zástupci; nastavuje administrátor</t>
        </is>
      </c>
      <c r="E30" s="7" t="inlineStr">
        <is>
          <t>Rozhodnuto týmem?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Normal="100" workbookViewId="0">
      <pane ySplit="4" topLeftCell="A5" activePane="bottomLeft" state="frozen"/>
      <selection pane="bottomLeft" activeCell="F6" sqref="F6"/>
    </sheetView>
  </sheetViews>
  <sheetFormatPr baseColWidth="8" defaultColWidth="8.7109375" defaultRowHeight="15"/>
  <cols>
    <col width="5" customWidth="1" min="1" max="1"/>
    <col width="58" customWidth="1" min="2" max="2"/>
    <col width="22" customWidth="1" min="3" max="3"/>
    <col width="26" customWidth="1" min="4" max="4"/>
    <col width="12" customWidth="1" min="5" max="5"/>
    <col width="15" customWidth="1" min="6" max="6"/>
    <col width="30" customWidth="1" min="7" max="7"/>
    <col width="13" customWidth="1" min="8" max="8"/>
  </cols>
  <sheetData>
    <row r="1" ht="18" customHeight="1">
      <c r="A1" s="2" t="inlineStr">
        <is>
          <t>Úkoly – sledování postupu</t>
        </is>
      </c>
    </row>
    <row r="2">
      <c r="A2" s="8" t="inlineStr">
        <is>
          <t>Legenda: žlutá políčka (Stav, Poznámka) vyplňujte průběžně. Stav vyberte ze seznamu: Nezahájeno / Rozpracováno / Hotovo.</t>
        </is>
      </c>
    </row>
    <row r="4" ht="30" customHeight="1">
      <c r="A4" s="5" t="inlineStr">
        <is>
          <t>#</t>
        </is>
      </c>
      <c r="B4" s="5" t="inlineStr">
        <is>
          <t>Úkol</t>
        </is>
      </c>
      <c r="C4" s="5" t="inlineStr">
        <is>
          <t>Kapitola dokumentu</t>
        </is>
      </c>
      <c r="D4" s="5" t="inlineStr">
        <is>
          <t>Odpovídá</t>
        </is>
      </c>
      <c r="E4" s="5" t="inlineStr">
        <is>
          <t>Termín</t>
        </is>
      </c>
      <c r="F4" s="5" t="inlineStr">
        <is>
          <t>Stav</t>
        </is>
      </c>
      <c r="G4" s="5" t="inlineStr">
        <is>
          <t>Poznámka</t>
        </is>
      </c>
      <c r="H4" s="5" t="inlineStr">
        <is>
          <t>Kroky hotovo</t>
        </is>
      </c>
    </row>
    <row r="5">
      <c r="A5" s="7" t="n">
        <v>1</v>
      </c>
      <c r="B5" s="7" t="inlineStr">
        <is>
          <t>Výběr chronické choroby a nahlášení</t>
        </is>
      </c>
      <c r="C5" s="7" t="inlineStr">
        <is>
          <t>—</t>
        </is>
      </c>
      <c r="D5" s="7" t="inlineStr">
        <is>
          <t>Společně</t>
        </is>
      </c>
      <c r="E5" s="12" t="n">
        <v>46303</v>
      </c>
      <c r="F5" s="10" t="inlineStr">
        <is>
          <t>Rozpracováno</t>
        </is>
      </c>
      <c r="G5" s="10" t="inlineStr">
        <is>
          <t>Chybí krok 1.4 – zdůvodnění volby hypertenze do Úvodu (čeká na roli 4).</t>
        </is>
      </c>
      <c r="H5" s="13">
        <f>COUNTIFS('Osnova kroků'!$A$5:$A$171,A5,'Osnova kroků'!$F$5:$F$171,"Hotovo")&amp;" / "&amp;COUNTIF('Osnova kroků'!$A$5:$A$171,A5)</f>
        <v/>
      </c>
    </row>
    <row r="6">
      <c r="A6" s="7" t="n">
        <v>2</v>
      </c>
      <c r="B6" s="7" t="inlineStr">
        <is>
          <t>Analýza požadavků (funkční i nefunkční)</t>
        </is>
      </c>
      <c r="C6" s="7" t="inlineStr">
        <is>
          <t>Požadavky</t>
        </is>
      </c>
      <c r="D6" s="7" t="inlineStr">
        <is>
          <t>Společně</t>
        </is>
      </c>
      <c r="E6" s="12" t="n">
        <v>46316</v>
      </c>
      <c r="F6" s="10" t="inlineStr">
        <is>
          <t>Rozpracováno</t>
        </is>
      </c>
      <c r="G6" s="10" t="inlineStr">
        <is>
          <t>Spojeno do spolecny/Pozadavky_spolecne.xlsx (46 FP + 17 NFP, MoSCoW). Čeká na odsouhlasení vlastníky bloků do 1. 11., pak kapitola (Sabi).</t>
        </is>
      </c>
      <c r="H6" s="13">
        <f>COUNTIFS('Osnova kroků'!$A$5:$A$171,A6,'Osnova kroků'!$F$5:$F$171,"Hotovo")&amp;" / "&amp;COUNTIF('Osnova kroků'!$A$5:$A$171,A6)</f>
        <v/>
      </c>
    </row>
    <row r="7">
      <c r="A7" s="7" t="n">
        <v>3</v>
      </c>
      <c r="B7" s="7" t="inlineStr">
        <is>
          <t>Seznam aktérů a hrubé rozhraní mezi bloky</t>
        </is>
      </c>
      <c r="C7" s="7" t="inlineStr">
        <is>
          <t>Design architektury</t>
        </is>
      </c>
      <c r="D7" s="7" t="inlineStr">
        <is>
          <t>Společně</t>
        </is>
      </c>
      <c r="E7" s="12" t="n">
        <v>46309</v>
      </c>
      <c r="F7" s="10" t="inlineStr">
        <is>
          <t>Rozpracováno</t>
        </is>
      </c>
      <c r="G7" s="10" t="inlineStr">
        <is>
          <t>Aktéři jsou v UC diagramech, tok dat v Maky/02-architektura a komponenty v Maky/04. Chybí společné odsouhlasení a role 4.</t>
        </is>
      </c>
      <c r="H7" s="13">
        <f>COUNTIFS('Osnova kroků'!$A$5:$A$171,A7,'Osnova kroků'!$F$5:$F$171,"Hotovo")&amp;" / "&amp;COUNTIF('Osnova kroků'!$A$5:$A$171,A7)</f>
        <v/>
      </c>
    </row>
    <row r="8" ht="28.5" customHeight="1">
      <c r="A8" s="7" t="n">
        <v>4</v>
      </c>
      <c r="B8" s="7" t="inlineStr">
        <is>
          <t>Component diagram celého systému (kreslí role 3, odsouhlasí všichni)</t>
        </is>
      </c>
      <c r="C8" s="7" t="inlineStr">
        <is>
          <t>Design architektury</t>
        </is>
      </c>
      <c r="D8" s="7" t="inlineStr">
        <is>
          <t>Společně</t>
        </is>
      </c>
      <c r="E8" s="12" t="n">
        <v>46337</v>
      </c>
      <c r="F8" s="10" t="inlineStr">
        <is>
          <t>Nezahájeno</t>
        </is>
      </c>
      <c r="G8" s="10" t="inlineStr">
        <is>
          <t>Zatím neexistuje. Maky/04-komponenty-mobil lze použít jako výchozí bod (už ukazuje celý řetězec až po NIS).</t>
        </is>
      </c>
      <c r="H8" s="13">
        <f>COUNTIFS('Osnova kroků'!$A$5:$A$171,A8,'Osnova kroků'!$F$5:$F$171,"Hotovo")&amp;" / "&amp;COUNTIF('Osnova kroků'!$A$5:$A$171,A8)</f>
        <v/>
      </c>
    </row>
    <row r="9">
      <c r="A9" s="7" t="n">
        <v>5</v>
      </c>
      <c r="B9" s="7" t="inlineStr">
        <is>
          <t>Dohoda rozhraní: aplikace→API, portál↔API, integrátor→DB</t>
        </is>
      </c>
      <c r="C9" s="7" t="inlineStr">
        <is>
          <t>Design architektury</t>
        </is>
      </c>
      <c r="D9" s="7" t="inlineStr">
        <is>
          <t>Společně</t>
        </is>
      </c>
      <c r="E9" s="12" t="n">
        <v>46330</v>
      </c>
      <c r="F9" s="10" t="inlineStr">
        <is>
          <t>Rozpracováno</t>
        </is>
      </c>
      <c r="G9" s="10" t="inlineStr">
        <is>
          <t>Aplikace→API sedí (stejný JSON u Maky i Emy ✓), portál↔API sedí s tabulkou Sabi ✓. Chybí: ID zařízení a nepravidelný rytmus v JSON, integrátor→DB s rolí 4, formální odsouhlasení.</t>
        </is>
      </c>
      <c r="H9" s="13">
        <f>COUNTIFS('Osnova kroků'!$A$5:$A$171,A9,'Osnova kroků'!$F$5:$F$171,"Hotovo")&amp;" / "&amp;COUNTIF('Osnova kroků'!$A$5:$A$171,A9)</f>
        <v/>
      </c>
    </row>
    <row r="10" ht="28.5" customHeight="1">
      <c r="A10" s="7" t="n">
        <v>6</v>
      </c>
      <c r="B10" s="7" t="inlineStr">
        <is>
          <t>Sjednocení bezpečnosti a GDPR (šifrování, autentizace, role)</t>
        </is>
      </c>
      <c r="C10" s="7" t="inlineStr">
        <is>
          <t>Design architektury</t>
        </is>
      </c>
      <c r="D10" s="7" t="inlineStr">
        <is>
          <t>Společně</t>
        </is>
      </c>
      <c r="E10" s="12" t="n">
        <v>46323</v>
      </c>
      <c r="F10" s="10" t="inlineStr">
        <is>
          <t>Rozpracováno</t>
        </is>
      </c>
      <c r="G10" s="10" t="inlineStr">
        <is>
          <t>Bezpečnost je rozepsaná v Ema/Implementace §4 a Maky NFR; chybí společná podkapitola a rozhodnutí o retenci dat (GDPR).</t>
        </is>
      </c>
      <c r="H10" s="13">
        <f>COUNTIFS('Osnova kroků'!$A$5:$A$171,A10,'Osnova kroků'!$F$5:$F$171,"Hotovo")&amp;" / "&amp;COUNTIF('Osnova kroků'!$A$5:$A$171,A10)</f>
        <v/>
      </c>
    </row>
    <row r="11">
      <c r="A11" s="7" t="n">
        <v>7</v>
      </c>
      <c r="B11" s="7" t="inlineStr">
        <is>
          <t>Use case diagram – pacientská aplikace</t>
        </is>
      </c>
      <c r="C11" s="7" t="inlineStr">
        <is>
          <t>Požadavky</t>
        </is>
      </c>
      <c r="D11" s="7" t="inlineStr">
        <is>
          <t>1 – Pacientská část</t>
        </is>
      </c>
      <c r="E11" s="12" t="n">
        <v>46323</v>
      </c>
      <c r="F11" s="10" t="inlineStr">
        <is>
          <t>Rozpracováno</t>
        </is>
      </c>
      <c r="G11" s="10" t="inlineStr">
        <is>
          <t>V .drawio má Tlakoměr i WEB API jen 2 use casy (zadání chce min. 4 na aktéra; v .mmd jich tlakoměr má 4 – sjednotit). Aktéři jsou obdélníky, ne UML panáčci. Šipky do „Synchronizovat data“ bez «include». Chybí UC „Číst doporučení lékaře“ (počítá s ním portál i API).</t>
        </is>
      </c>
      <c r="H11" s="13">
        <f>COUNTIFS('Osnova kroků'!$A$5:$A$171,A11,'Osnova kroků'!$F$5:$F$171,"Hotovo")&amp;" / "&amp;COUNTIF('Osnova kroků'!$A$5:$A$171,A11)</f>
        <v/>
      </c>
    </row>
    <row r="12">
      <c r="A12" s="7" t="n">
        <v>8</v>
      </c>
      <c r="B12" s="7" t="inlineStr">
        <is>
          <t>Stavový diagram – připojení senzoru (párování/BLE)</t>
        </is>
      </c>
      <c r="C12" s="7" t="inlineStr">
        <is>
          <t>Design architektury</t>
        </is>
      </c>
      <c r="D12" s="7" t="inlineStr">
        <is>
          <t>1 – Pacientská část</t>
        </is>
      </c>
      <c r="E12" s="12" t="n">
        <v>46330</v>
      </c>
      <c r="F12" s="10" t="inlineStr">
        <is>
          <t>Rozpracováno</t>
        </is>
      </c>
      <c r="G12" s="10" t="inlineStr">
        <is>
          <t>Obsah OK (7 stavů). Chybí počáteční (a případně koncový) stav – černé kolečko – a odstavec popisu.</t>
        </is>
      </c>
      <c r="H12" s="13">
        <f>COUNTIFS('Osnova kroků'!$A$5:$A$171,A12,'Osnova kroků'!$F$5:$F$171,"Hotovo")&amp;" / "&amp;COUNTIF('Osnova kroků'!$A$5:$A$171,A12)</f>
        <v/>
      </c>
    </row>
    <row r="13">
      <c r="A13" s="7" t="n">
        <v>9</v>
      </c>
      <c r="B13" s="7" t="inlineStr">
        <is>
          <t>Stavový diagram – měření a odeslání dat vč. offline</t>
        </is>
      </c>
      <c r="C13" s="7" t="inlineStr">
        <is>
          <t>Design architektury</t>
        </is>
      </c>
      <c r="D13" s="7" t="inlineStr">
        <is>
          <t>1 – Pacientská část</t>
        </is>
      </c>
      <c r="E13" s="12" t="n">
        <v>46330</v>
      </c>
      <c r="F13" s="10" t="inlineStr">
        <is>
          <t>Rozpracováno</t>
        </is>
      </c>
      <c r="G13" s="10" t="inlineStr">
        <is>
          <t>Obsah OK a sedí s API (401/422/5xx, idempotence ✓). Chybí počáteční/koncový stav, stav 409 konflikt (Ema), průvodce měřením a výzva při velmi vysoké hodnotě; odstavec popisu.</t>
        </is>
      </c>
      <c r="H13" s="13">
        <f>COUNTIFS('Osnova kroků'!$A$5:$A$171,A13,'Osnova kroků'!$F$5:$F$171,"Hotovo")&amp;" / "&amp;COUNTIF('Osnova kroků'!$A$5:$A$171,A13)</f>
        <v/>
      </c>
    </row>
    <row r="14">
      <c r="A14" s="7" t="n">
        <v>10</v>
      </c>
      <c r="B14" s="7" t="inlineStr">
        <is>
          <t>Popis pacientské části v component diagramu</t>
        </is>
      </c>
      <c r="C14" s="7" t="inlineStr">
        <is>
          <t>Design architektury</t>
        </is>
      </c>
      <c r="D14" s="7" t="inlineStr">
        <is>
          <t>1 – Pacientská část</t>
        </is>
      </c>
      <c r="E14" s="12" t="n">
        <v>46337</v>
      </c>
      <c r="F14" s="10" t="inlineStr">
        <is>
          <t>Rozpracováno</t>
        </is>
      </c>
      <c r="G14" s="10" t="inlineStr">
        <is>
          <t>Dobrý popis (02-architektura, 04-komponenty), sedí s API i portálem. Doplnit moduly průvodce měřením a připomínky; jednotky soli zatím neschválené.</t>
        </is>
      </c>
      <c r="H14" s="13">
        <f>COUNTIFS('Osnova kroků'!$A$5:$A$171,A14,'Osnova kroků'!$F$5:$F$171,"Hotovo")&amp;" / "&amp;COUNTIF('Osnova kroků'!$A$5:$A$171,A14)</f>
        <v/>
      </c>
    </row>
    <row r="15">
      <c r="A15" s="7" t="n">
        <v>11</v>
      </c>
      <c r="B15" s="7" t="inlineStr">
        <is>
          <t>Návrh GUI – mobilní aplikace</t>
        </is>
      </c>
      <c r="C15" s="7" t="inlineStr">
        <is>
          <t>Design architektury</t>
        </is>
      </c>
      <c r="D15" s="7" t="inlineStr">
        <is>
          <t>1 – Pacientská část</t>
        </is>
      </c>
      <c r="E15" s="12" t="n">
        <v>46351</v>
      </c>
      <c r="F15" s="10" t="inlineStr">
        <is>
          <t>Rozpracováno</t>
        </is>
      </c>
      <c r="G15" s="10" t="inlineStr">
        <is>
          <t>Zatím textový wireframe jedné obrazovky. Chybí obrazovky doporučení lékaře, průvodce měřením, připomínky, souhrn; nakreslit v draw.io/Figma (termín 25.11.).</t>
        </is>
      </c>
      <c r="H15" s="13">
        <f>COUNTIFS('Osnova kroků'!$A$5:$A$171,A15,'Osnova kroků'!$F$5:$F$171,"Hotovo")&amp;" / "&amp;COUNTIF('Osnova kroků'!$A$5:$A$171,A15)</f>
        <v/>
      </c>
    </row>
    <row r="16">
      <c r="A16" s="7" t="n">
        <v>12</v>
      </c>
      <c r="B16" s="7" t="inlineStr">
        <is>
          <t>Kapitola Údržba + distribuce updatů</t>
        </is>
      </c>
      <c r="C16" s="7" t="inlineStr">
        <is>
          <t>Údržba</t>
        </is>
      </c>
      <c r="D16" s="7" t="inlineStr">
        <is>
          <t>1 – Pacientská část</t>
        </is>
      </c>
      <c r="E16" s="12" t="n">
        <v>46358</v>
      </c>
      <c r="F16" s="10" t="inlineStr">
        <is>
          <t>Rozpracováno</t>
        </is>
      </c>
      <c r="G16" s="10" t="inlineStr">
        <is>
          <t>Text existuje (store, OTA, firmware ✓), ale je krátký (~½ strany). Doplnit typy údržby a monitoring; cíl 1–1,5 strany.</t>
        </is>
      </c>
      <c r="H16" s="13">
        <f>COUNTIFS('Osnova kroků'!$A$5:$A$171,A16,'Osnova kroků'!$F$5:$F$171,"Hotovo")&amp;" / "&amp;COUNTIF('Osnova kroků'!$A$5:$A$171,A16)</f>
        <v/>
      </c>
    </row>
    <row r="17">
      <c r="A17" s="7" t="n">
        <v>13</v>
      </c>
      <c r="B17" s="7" t="inlineStr">
        <is>
          <t>Use case diagram – webový portál</t>
        </is>
      </c>
      <c r="C17" s="7" t="inlineStr">
        <is>
          <t>Požadavky</t>
        </is>
      </c>
      <c r="D17" s="7" t="inlineStr">
        <is>
          <t>2 – Webový portál</t>
        </is>
      </c>
      <c r="E17" s="12" t="n">
        <v>46323</v>
      </c>
      <c r="F17" s="10" t="inlineStr">
        <is>
          <t>Hotovo</t>
        </is>
      </c>
      <c r="G17" s="10" t="inlineStr">
        <is>
          <t>Sedí s endpointy Emy i maticí oprávnění.</t>
        </is>
      </c>
      <c r="H17" s="13">
        <f>COUNTIFS('Osnova kroků'!$A$5:$A$171,A17,'Osnova kroků'!$F$5:$F$171,"Hotovo")&amp;" / "&amp;COUNTIF('Osnova kroků'!$A$5:$A$171,A17)</f>
        <v/>
      </c>
    </row>
    <row r="18">
      <c r="A18" s="7" t="n">
        <v>14</v>
      </c>
      <c r="B18" s="7" t="inlineStr">
        <is>
          <t>Stavový diagram – životní cyklus alertu</t>
        </is>
      </c>
      <c r="C18" s="7" t="inlineStr">
        <is>
          <t>Design architektury</t>
        </is>
      </c>
      <c r="D18" s="7" t="inlineStr">
        <is>
          <t>2 – Webový portál</t>
        </is>
      </c>
      <c r="E18" s="12" t="n">
        <v>46330</v>
      </c>
      <c r="F18" s="10" t="inlineStr">
        <is>
          <t>Hotovo</t>
        </is>
      </c>
      <c r="G18" s="10" t="inlineStr">
        <is>
          <t>Eskalace 2 h (mimo ordinační dobu ihned) doplněna v diagramu i scénáři; popis s citacemi ESH v Sabi/SD_alert_popis.docx. PNG znovu exportovat z draw.io.</t>
        </is>
      </c>
      <c r="H18" s="13">
        <f>COUNTIFS('Osnova kroků'!$A$5:$A$171,A18,'Osnova kroků'!$F$5:$F$171,"Hotovo")&amp;" / "&amp;COUNTIF('Osnova kroků'!$A$5:$A$171,A18)</f>
        <v/>
      </c>
    </row>
    <row r="19">
      <c r="A19" s="7" t="n">
        <v>15</v>
      </c>
      <c r="B19" s="7" t="inlineStr">
        <is>
          <t>Popis webového portálu, role a oprávnění</t>
        </is>
      </c>
      <c r="C19" s="7" t="inlineStr">
        <is>
          <t>Design architektury</t>
        </is>
      </c>
      <c r="D19" s="7" t="inlineStr">
        <is>
          <t>2 – Webový portál</t>
        </is>
      </c>
      <c r="E19" s="12" t="n">
        <v>46337</v>
      </c>
      <c r="F19" s="10" t="inlineStr">
        <is>
          <t>Hotovo</t>
        </is>
      </c>
      <c r="G19" s="10" t="inlineStr">
        <is>
          <t>Popis portálu v Sabi/15_Webovy_portal_popis.docx. Oprávnění pacienta k alertům sladí Ema v API (viz Vzkazy).</t>
        </is>
      </c>
      <c r="H19" s="13">
        <f>COUNTIFS('Osnova kroků'!$A$5:$A$171,A19,'Osnova kroků'!$F$5:$F$171,"Hotovo")&amp;" / "&amp;COUNTIF('Osnova kroků'!$A$5:$A$171,A19)</f>
        <v/>
      </c>
    </row>
    <row r="20">
      <c r="A20" s="7" t="n">
        <v>16</v>
      </c>
      <c r="B20" s="7" t="inlineStr">
        <is>
          <t>Návrh GUI – webový portál</t>
        </is>
      </c>
      <c r="C20" s="7" t="inlineStr">
        <is>
          <t>Design architektury</t>
        </is>
      </c>
      <c r="D20" s="7" t="inlineStr">
        <is>
          <t>2 – Webový portál</t>
        </is>
      </c>
      <c r="E20" s="12" t="n">
        <v>46351</v>
      </c>
      <c r="F20" s="10" t="inlineStr">
        <is>
          <t>Rozpracováno</t>
        </is>
      </c>
      <c r="G20" s="10" t="inlineStr">
        <is>
          <t>7 obrazovek v Sabi/GUI_portal + popis v Sabi/16_GUI_portal.docx, barvy podle návrhu Maky. Zbývá odsouhlasit s Maky (jednotný styl, barevné indikátory).</t>
        </is>
      </c>
      <c r="H20" s="13">
        <f>COUNTIFS('Osnova kroků'!$A$5:$A$171,A20,'Osnova kroků'!$F$5:$F$171,"Hotovo")&amp;" / "&amp;COUNTIF('Osnova kroků'!$A$5:$A$171,A20)</f>
        <v/>
      </c>
    </row>
    <row r="21">
      <c r="A21" s="7" t="n">
        <v>17</v>
      </c>
      <c r="B21" s="7" t="inlineStr">
        <is>
          <t>Kapitola Testování (postup, typy testů, testy při nasazení)</t>
        </is>
      </c>
      <c r="C21" s="7" t="inlineStr">
        <is>
          <t>Testování</t>
        </is>
      </c>
      <c r="D21" s="7" t="inlineStr">
        <is>
          <t>2 – Webový portál</t>
        </is>
      </c>
      <c r="E21" s="12" t="n">
        <v>46358</v>
      </c>
      <c r="F21" s="10" t="inlineStr">
        <is>
          <t>Rozpracováno</t>
        </is>
      </c>
      <c r="G21" s="10" t="inlineStr">
        <is>
          <t>Návrh v Sabi/17_Testovani.docx (~2,5 strany). Zbývá: scénáře A-, S- a I- odsouhlasit s Maky, Emou a rolí 4.</t>
        </is>
      </c>
      <c r="H21" s="13">
        <f>COUNTIFS('Osnova kroků'!$A$5:$A$171,A21,'Osnova kroků'!$F$5:$F$171,"Hotovo")&amp;" / "&amp;COUNTIF('Osnova kroků'!$A$5:$A$171,A21)</f>
        <v/>
      </c>
    </row>
    <row r="22">
      <c r="A22" s="7" t="n">
        <v>18</v>
      </c>
      <c r="B22" s="7" t="inlineStr">
        <is>
          <t>Use case diagram – WEB API</t>
        </is>
      </c>
      <c r="C22" s="7" t="inlineStr">
        <is>
          <t>Požadavky</t>
        </is>
      </c>
      <c r="D22" s="7" t="inlineStr">
        <is>
          <t>3 – WEB API + databáze</t>
        </is>
      </c>
      <c r="E22" s="12" t="n">
        <v>46323</v>
      </c>
      <c r="F22" s="10" t="inlineStr">
        <is>
          <t>Hotovo</t>
        </is>
      </c>
      <c r="G22" s="10" t="inlineStr">
        <is>
          <t>2 aktéři × 6 use casů ✓, sedí s endpointy i portálem. Volitelně doplnit «include» (např. Odeslat měření → Přihlášení).</t>
        </is>
      </c>
      <c r="H22" s="13">
        <f>COUNTIFS('Osnova kroků'!$A$5:$A$171,A22,'Osnova kroků'!$F$5:$F$171,"Hotovo")&amp;" / "&amp;COUNTIF('Osnova kroků'!$A$5:$A$171,A22)</f>
        <v/>
      </c>
    </row>
    <row r="23">
      <c r="A23" s="7" t="n">
        <v>19</v>
      </c>
      <c r="B23" s="7" t="inlineStr">
        <is>
          <t>Stavový diagram – zpracování záznamu / přihlášení</t>
        </is>
      </c>
      <c r="C23" s="7" t="inlineStr">
        <is>
          <t>Design architektury</t>
        </is>
      </c>
      <c r="D23" s="7" t="inlineStr">
        <is>
          <t>3 – WEB API + databáze</t>
        </is>
      </c>
      <c r="E23" s="12" t="n">
        <v>46330</v>
      </c>
      <c r="F23" s="10" t="inlineStr">
        <is>
          <t>Rozpracováno</t>
        </is>
      </c>
      <c r="G23" s="10" t="inlineStr">
        <is>
          <t>Obsah OK (9 stavů), sedí s Maky #9. Chybí počáteční stav (černé kolečko).</t>
        </is>
      </c>
      <c r="H23" s="13">
        <f>COUNTIFS('Osnova kroků'!$A$5:$A$171,A23,'Osnova kroků'!$F$5:$F$171,"Hotovo")&amp;" / "&amp;COUNTIF('Osnova kroků'!$A$5:$A$171,A23)</f>
        <v/>
      </c>
    </row>
    <row r="24">
      <c r="A24" s="7" t="n">
        <v>20</v>
      </c>
      <c r="B24" s="7" t="inlineStr">
        <is>
          <t>Návrh databáze – ER diagram (min. 6 tabulek × 4 sloupce)</t>
        </is>
      </c>
      <c r="C24" s="7" t="inlineStr">
        <is>
          <t>Design architektury</t>
        </is>
      </c>
      <c r="D24" s="7" t="inlineStr">
        <is>
          <t>3 – WEB API + databáze</t>
        </is>
      </c>
      <c r="E24" s="12" t="n">
        <v>46330</v>
      </c>
      <c r="F24" s="10" t="inlineStr">
        <is>
          <t>Rozpracováno</t>
        </is>
      </c>
      <c r="G24" s="10" t="inlineStr">
        <is>
          <t>15 tabulek s vazbami ✓. Doplnit (ER v2): LimitAlertu urgentni_sys/dia, dny_bez_mereni; Alert vyreseno_at, poznamka + povolené hodnoty stav dle SD alertu (Vytvořen…Zrušen); klientské UUID pro Aktivita a ZaznamZivotospravy; datové typy sloupců; krátký popis tabulek. Doplnit zástupce lékaře (Lekar.zastupce_lekar_id) a nastavení doby eskalace (viz Vzkazy.docx).</t>
        </is>
      </c>
      <c r="H24" s="13">
        <f>COUNTIFS('Osnova kroků'!$A$5:$A$171,A24,'Osnova kroků'!$F$5:$F$171,"Hotovo")&amp;" / "&amp;COUNTIF('Osnova kroků'!$A$5:$A$171,A24)</f>
        <v/>
      </c>
    </row>
    <row r="25">
      <c r="A25" s="7" t="n">
        <v>21</v>
      </c>
      <c r="B25" s="7" t="inlineStr">
        <is>
          <t>Popis WEB API a databáze</t>
        </is>
      </c>
      <c r="C25" s="7" t="inlineStr">
        <is>
          <t>Design architektury</t>
        </is>
      </c>
      <c r="D25" s="7" t="inlineStr">
        <is>
          <t>3 – WEB API + databáze</t>
        </is>
      </c>
      <c r="E25" s="12" t="n">
        <v>46337</v>
      </c>
      <c r="F25" s="10" t="inlineStr">
        <is>
          <t>Rozpracováno</t>
        </is>
      </c>
      <c r="G25" s="10" t="inlineStr">
        <is>
          <t>Endpointy sedí s portálem i aplikací ✓. Sjednotit oprávnění GET /pacienti/{id}/alerty pro pacienta; po ER v2 aktualizovat.</t>
        </is>
      </c>
      <c r="H25" s="13">
        <f>COUNTIFS('Osnova kroků'!$A$5:$A$171,A25,'Osnova kroků'!$F$5:$F$171,"Hotovo")&amp;" / "&amp;COUNTIF('Osnova kroků'!$A$5:$A$171,A25)</f>
        <v/>
      </c>
    </row>
    <row r="26" ht="28.5" customHeight="1">
      <c r="A26" s="7" t="n">
        <v>22</v>
      </c>
      <c r="B26" s="7" t="inlineStr">
        <is>
          <t>Kapitola Implementace (technologie, proces, VCS, build server)</t>
        </is>
      </c>
      <c r="C26" s="7" t="inlineStr">
        <is>
          <t>Implementace</t>
        </is>
      </c>
      <c r="D26" s="7" t="inlineStr">
        <is>
          <t>3 – WEB API + databáze</t>
        </is>
      </c>
      <c r="E26" s="12" t="n">
        <v>46358</v>
      </c>
      <c r="F26" s="10" t="inlineStr">
        <is>
          <t>Rozpracováno</t>
        </is>
      </c>
      <c r="G26" s="10" t="inlineStr">
        <is>
          <t>Výborně a napřed. Chybí technologie portálu (dodá Sabi). Popis Gitu (větve + PR) neodpovídá praxi (nahrávání přes web do main) – buď začít používat, nebo text upravit.</t>
        </is>
      </c>
      <c r="H26" s="13">
        <f>COUNTIFS('Osnova kroků'!$A$5:$A$171,A26,'Osnova kroků'!$F$5:$F$171,"Hotovo")&amp;" / "&amp;COUNTIF('Osnova kroků'!$A$5:$A$171,A26)</f>
        <v/>
      </c>
    </row>
    <row r="27">
      <c r="A27" s="7" t="n">
        <v>23</v>
      </c>
      <c r="B27" s="7" t="inlineStr">
        <is>
          <t>Use case diagram – integrátor</t>
        </is>
      </c>
      <c r="C27" s="7" t="inlineStr">
        <is>
          <t>Požadavky</t>
        </is>
      </c>
      <c r="D27" s="7" t="inlineStr">
        <is>
          <t>4 – Integrátor NIS (FHIR)</t>
        </is>
      </c>
      <c r="E27" s="12" t="n">
        <v>46323</v>
      </c>
      <c r="F27" s="10" t="inlineStr">
        <is>
          <t>Nezahájeno</t>
        </is>
      </c>
      <c r="G27" s="10" t="inlineStr">
        <is>
          <t>Role 4 – složka Domi je zatím prázdná.</t>
        </is>
      </c>
      <c r="H27" s="13">
        <f>COUNTIFS('Osnova kroků'!$A$5:$A$171,A27,'Osnova kroků'!$F$5:$F$171,"Hotovo")&amp;" / "&amp;COUNTIF('Osnova kroků'!$A$5:$A$171,A27)</f>
        <v/>
      </c>
    </row>
    <row r="28">
      <c r="A28" s="7" t="n">
        <v>24</v>
      </c>
      <c r="B28" s="7" t="inlineStr">
        <is>
          <t>Stavový diagram – synchronizace s NIS</t>
        </is>
      </c>
      <c r="C28" s="7" t="inlineStr">
        <is>
          <t>Design architektury</t>
        </is>
      </c>
      <c r="D28" s="7" t="inlineStr">
        <is>
          <t>4 – Integrátor NIS (FHIR)</t>
        </is>
      </c>
      <c r="E28" s="12" t="n">
        <v>46330</v>
      </c>
      <c r="F28" s="10" t="inlineStr">
        <is>
          <t>Nezahájeno</t>
        </is>
      </c>
      <c r="G28" s="10" t="inlineStr">
        <is>
          <t>Role 4 – podklad: tabulka NisSynchronizace v ER Emy.</t>
        </is>
      </c>
      <c r="H28" s="13">
        <f>COUNTIFS('Osnova kroků'!$A$5:$A$171,A28,'Osnova kroků'!$F$5:$F$171,"Hotovo")&amp;" / "&amp;COUNTIF('Osnova kroků'!$A$5:$A$171,A28)</f>
        <v/>
      </c>
    </row>
    <row r="29">
      <c r="A29" s="7" t="n">
        <v>25</v>
      </c>
      <c r="B29" s="7" t="inlineStr">
        <is>
          <t>Popis integrátoru a mapování na FHIR zdroje</t>
        </is>
      </c>
      <c r="C29" s="7" t="inlineStr">
        <is>
          <t>Design architektury</t>
        </is>
      </c>
      <c r="D29" s="7" t="inlineStr">
        <is>
          <t>4 – Integrátor NIS (FHIR)</t>
        </is>
      </c>
      <c r="E29" s="12" t="n">
        <v>46337</v>
      </c>
      <c r="F29" s="10" t="inlineStr">
        <is>
          <t>Nezahájeno</t>
        </is>
      </c>
      <c r="G29" s="10" t="inlineStr">
        <is>
          <t>Role 4.</t>
        </is>
      </c>
      <c r="H29" s="13">
        <f>COUNTIFS('Osnova kroků'!$A$5:$A$171,A29,'Osnova kroků'!$F$5:$F$171,"Hotovo")&amp;" / "&amp;COUNTIF('Osnova kroků'!$A$5:$A$171,A29)</f>
        <v/>
      </c>
    </row>
    <row r="30">
      <c r="A30" s="7" t="n">
        <v>26</v>
      </c>
      <c r="B30" s="7" t="inlineStr">
        <is>
          <t>Kapitola Úvod (problém, problematika, současná řešení)</t>
        </is>
      </c>
      <c r="C30" s="7" t="inlineStr">
        <is>
          <t>Úvod</t>
        </is>
      </c>
      <c r="D30" s="7" t="inlineStr">
        <is>
          <t>4 – Integrátor NIS (FHIR)</t>
        </is>
      </c>
      <c r="E30" s="12" t="n">
        <v>46344</v>
      </c>
      <c r="F30" s="10" t="inlineStr">
        <is>
          <t>Nezahájeno</t>
        </is>
      </c>
      <c r="G30" s="10" t="inlineStr">
        <is>
          <t>Role 4 – termín 18.11.; zdroje ESH už jsou připravené (Sabi).</t>
        </is>
      </c>
      <c r="H30" s="13">
        <f>COUNTIFS('Osnova kroků'!$A$5:$A$171,A30,'Osnova kroků'!$F$5:$F$171,"Hotovo")&amp;" / "&amp;COUNTIF('Osnova kroků'!$A$5:$A$171,A30)</f>
        <v/>
      </c>
    </row>
    <row r="31">
      <c r="A31" s="7" t="n">
        <v>27</v>
      </c>
      <c r="B31" s="7" t="inlineStr">
        <is>
          <t>Kapitola Nasazení (popis, požadavky na prostředí)</t>
        </is>
      </c>
      <c r="C31" s="7" t="inlineStr">
        <is>
          <t>Nasazení</t>
        </is>
      </c>
      <c r="D31" s="7" t="inlineStr">
        <is>
          <t>4 – Integrátor NIS (FHIR)</t>
        </is>
      </c>
      <c r="E31" s="12" t="n">
        <v>46358</v>
      </c>
      <c r="F31" s="10" t="inlineStr">
        <is>
          <t>Nezahájeno</t>
        </is>
      </c>
      <c r="G31" s="10" t="inlineStr">
        <is>
          <t>Role 4.</t>
        </is>
      </c>
      <c r="H31" s="13">
        <f>COUNTIFS('Osnova kroků'!$A$5:$A$171,A31,'Osnova kroků'!$F$5:$F$171,"Hotovo")&amp;" / "&amp;COUNTIF('Osnova kroků'!$A$5:$A$171,A31)</f>
        <v/>
      </c>
    </row>
    <row r="32">
      <c r="A32" s="7" t="n">
        <v>28</v>
      </c>
      <c r="B32" s="7" t="inlineStr">
        <is>
          <t>Zhodnocení systému a výhody oproti ostatním</t>
        </is>
      </c>
      <c r="C32" s="7" t="inlineStr">
        <is>
          <t>Zhodnocení</t>
        </is>
      </c>
      <c r="D32" s="7" t="inlineStr">
        <is>
          <t>Společně</t>
        </is>
      </c>
      <c r="E32" s="12" t="n">
        <v>46358</v>
      </c>
      <c r="F32" s="10" t="inlineStr">
        <is>
          <t>Nezahájeno</t>
        </is>
      </c>
      <c r="G32" s="10" t="n"/>
      <c r="H32" s="13">
        <f>COUNTIFS('Osnova kroků'!$A$5:$A$171,A32,'Osnova kroků'!$F$5:$F$171,"Hotovo")&amp;" / "&amp;COUNTIF('Osnova kroků'!$A$5:$A$171,A32)</f>
        <v/>
      </c>
    </row>
    <row r="33">
      <c r="A33" s="7" t="n">
        <v>29</v>
      </c>
      <c r="B33" s="7" t="inlineStr">
        <is>
          <t>Výkaz práce členů v %</t>
        </is>
      </c>
      <c r="C33" s="7" t="inlineStr">
        <is>
          <t>Výkaz práce</t>
        </is>
      </c>
      <c r="D33" s="7" t="inlineStr">
        <is>
          <t>Společně</t>
        </is>
      </c>
      <c r="E33" s="12" t="n">
        <v>46365</v>
      </c>
      <c r="F33" s="10" t="inlineStr">
        <is>
          <t>Nezahájeno</t>
        </is>
      </c>
      <c r="G33" s="10" t="n"/>
      <c r="H33" s="13">
        <f>COUNTIFS('Osnova kroků'!$A$5:$A$171,A33,'Osnova kroků'!$F$5:$F$171,"Hotovo")&amp;" / "&amp;COUNTIF('Osnova kroků'!$A$5:$A$171,A33)</f>
        <v/>
      </c>
    </row>
    <row r="34">
      <c r="A34" s="7" t="n">
        <v>30</v>
      </c>
      <c r="B34" s="7" t="inlineStr">
        <is>
          <t>Prezentace (10–15 slidů), každý 2–3 slidy</t>
        </is>
      </c>
      <c r="C34" s="7" t="inlineStr">
        <is>
          <t>Prezentace</t>
        </is>
      </c>
      <c r="D34" s="7" t="inlineStr">
        <is>
          <t>Společně</t>
        </is>
      </c>
      <c r="E34" s="12" t="n">
        <v>46365</v>
      </c>
      <c r="F34" s="10" t="inlineStr">
        <is>
          <t>Nezahájeno</t>
        </is>
      </c>
      <c r="G34" s="10" t="n"/>
      <c r="H34" s="13">
        <f>COUNTIFS('Osnova kroků'!$A$5:$A$171,A34,'Osnova kroků'!$F$5:$F$171,"Hotovo")&amp;" / "&amp;COUNTIF('Osnova kroků'!$A$5:$A$171,A34)</f>
        <v/>
      </c>
    </row>
    <row r="35">
      <c r="A35" s="7" t="n">
        <v>31</v>
      </c>
      <c r="B35" s="7" t="inlineStr">
        <is>
          <t>Finální redakce: jednotný styl diagramů a terminologie</t>
        </is>
      </c>
      <c r="C35" s="7" t="inlineStr">
        <is>
          <t>Celý dokument</t>
        </is>
      </c>
      <c r="D35" s="7" t="inlineStr">
        <is>
          <t>Společně</t>
        </is>
      </c>
      <c r="E35" s="12" t="n">
        <v>46365</v>
      </c>
      <c r="F35" s="10" t="inlineStr">
        <is>
          <t>Nezahájeno</t>
        </is>
      </c>
      <c r="G35" s="10" t="n"/>
      <c r="H35" s="13">
        <f>COUNTIFS('Osnova kroků'!$A$5:$A$171,A35,'Osnova kroků'!$F$5:$F$171,"Hotovo")&amp;" / "&amp;COUNTIF('Osnova kroků'!$A$5:$A$171,A35)</f>
        <v/>
      </c>
    </row>
    <row r="36">
      <c r="A36" s="7" t="n">
        <v>32</v>
      </c>
      <c r="B36" s="7" t="inlineStr">
        <is>
          <t>GitHub: průběžné používání a finální odevzdání (hodnotí se)</t>
        </is>
      </c>
      <c r="C36" s="7" t="inlineStr">
        <is>
          <t>Odevzdání</t>
        </is>
      </c>
      <c r="D36" s="7" t="inlineStr">
        <is>
          <t>Společně</t>
        </is>
      </c>
      <c r="E36" s="12" t="n">
        <v>46372</v>
      </c>
      <c r="F36" s="10" t="inlineStr">
        <is>
          <t>Rozpracováno</t>
        </is>
      </c>
      <c r="G36" s="10" t="inlineStr">
        <is>
          <t>Commity probíhají, ale zprávy „Add files via upload“ nic neříkají – psát popisné (hodnotí se). Složky spolecny a Domi prázdné.</t>
        </is>
      </c>
      <c r="H36" s="13">
        <f>COUNTIFS('Osnova kroků'!$A$5:$A$171,A36,'Osnova kroků'!$F$5:$F$171,"Hotovo")&amp;" / "&amp;COUNTIF('Osnova kroků'!$A$5:$A$171,A36)</f>
        <v/>
      </c>
    </row>
    <row r="37" ht="28.5" customHeight="1">
      <c r="A37" s="7" t="n">
        <v>33</v>
      </c>
      <c r="B37" s="7" t="inlineStr">
        <is>
          <t>Porozumění celku: každý umí vysvětlit svůj blok i tok dat od tlakoměru do NIS</t>
        </is>
      </c>
      <c r="C37" s="7" t="inlineStr">
        <is>
          <t>Prezentace / obhajoba</t>
        </is>
      </c>
      <c r="D37" s="7" t="inlineStr">
        <is>
          <t>Společně</t>
        </is>
      </c>
      <c r="E37" s="12" t="n">
        <v>46365</v>
      </c>
      <c r="F37" s="10" t="inlineStr">
        <is>
          <t>Nezahájeno</t>
        </is>
      </c>
      <c r="G37" s="10" t="n"/>
      <c r="H37" s="13">
        <f>COUNTIFS('Osnova kroků'!$A$5:$A$171,A37,'Osnova kroků'!$F$5:$F$171,"Hotovo")&amp;" / "&amp;COUNTIF('Osnova kroků'!$A$5:$A$171,A37)</f>
        <v/>
      </c>
    </row>
  </sheetData>
  <autoFilter ref="A4:H37"/>
  <conditionalFormatting sqref="F5:F37">
    <cfRule type="cellIs" priority="2" operator="equal" dxfId="1">
      <formula>"Hotovo"</formula>
    </cfRule>
    <cfRule type="cellIs" priority="3" operator="equal" dxfId="0">
      <formula>"Rozpracováno"</formula>
    </cfRule>
  </conditionalFormatting>
  <dataValidations count="1">
    <dataValidation sqref="F5:F37" showDropDown="0" showInputMessage="0" showErrorMessage="0" allowBlank="1" type="list">
      <formula1>"Nezahájeno,Rozpracováno,Hotovo"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"/>
  <sheetViews>
    <sheetView zoomScaleNormal="100" workbookViewId="0">
      <pane ySplit="4" topLeftCell="A62" activePane="bottomLeft" state="frozen"/>
      <selection pane="bottomLeft" activeCell="F79" sqref="F79"/>
    </sheetView>
  </sheetViews>
  <sheetFormatPr baseColWidth="8" defaultColWidth="8.7109375" defaultRowHeight="15"/>
  <cols>
    <col width="8" customWidth="1" min="1" max="1"/>
    <col width="34" customWidth="1" min="2" max="2"/>
    <col width="7" customWidth="1" min="3" max="3"/>
    <col width="80" customWidth="1" min="4" max="4"/>
    <col width="24" customWidth="1" min="5" max="5"/>
    <col width="15" customWidth="1" min="6" max="6"/>
    <col width="28" customWidth="1" min="7" max="7"/>
  </cols>
  <sheetData>
    <row r="1" ht="18" customHeight="1">
      <c r="A1" s="2" t="inlineStr">
        <is>
          <t>Podrobná osnova kroků ke každému úkolu</t>
        </is>
      </c>
    </row>
    <row r="2">
      <c r="A2" s="8" t="inlineStr">
        <is>
          <t>Legenda: žlutá políčka (Stav, Poznámka) vyplňujte průběžně. Postup za úkol se počítá v listu Úkoly (sloupec Kroky hotovo).</t>
        </is>
      </c>
    </row>
    <row r="4">
      <c r="A4" s="5" t="inlineStr">
        <is>
          <t>Úkol #</t>
        </is>
      </c>
      <c r="B4" s="5" t="inlineStr">
        <is>
          <t>Úkol</t>
        </is>
      </c>
      <c r="C4" s="5" t="inlineStr">
        <is>
          <t>Krok</t>
        </is>
      </c>
      <c r="D4" s="5" t="inlineStr">
        <is>
          <t>Popis kroku</t>
        </is>
      </c>
      <c r="E4" s="5" t="inlineStr">
        <is>
          <t>Odpovídá</t>
        </is>
      </c>
      <c r="F4" s="5" t="inlineStr">
        <is>
          <t>Stav</t>
        </is>
      </c>
      <c r="G4" s="5" t="inlineStr">
        <is>
          <t>Poznámka</t>
        </is>
      </c>
    </row>
    <row r="5" ht="30" customHeight="1">
      <c r="A5" s="7" t="n">
        <v>1</v>
      </c>
      <c r="B5" s="14" t="inlineStr">
        <is>
          <t>Výběr chronické choroby a nahlášení</t>
        </is>
      </c>
      <c r="C5" s="7" t="inlineStr">
        <is>
          <t>1.1</t>
        </is>
      </c>
      <c r="D5" s="7" t="inlineStr">
        <is>
          <t>Porovnat 4 choroby podle senzorů, měřených hodnot a vhodnosti sledování aktivity.</t>
        </is>
      </c>
      <c r="E5" s="7">
        <f>INDEX(Úkoly!$D$5:$D$37,MATCH(A5,Úkoly!$A$5:$A$37,0))</f>
        <v/>
      </c>
      <c r="F5" s="10" t="inlineStr">
        <is>
          <t>Hotovo</t>
        </is>
      </c>
      <c r="G5" s="10" t="n"/>
    </row>
    <row r="6" ht="28.5" customHeight="1">
      <c r="A6" s="7" t="n">
        <v>1</v>
      </c>
      <c r="B6" s="14" t="n"/>
      <c r="C6" s="7" t="inlineStr">
        <is>
          <t>1.2</t>
        </is>
      </c>
      <c r="D6" s="7" t="inlineStr">
        <is>
          <t>Zvolena HYPERTENZE (tlakoměr s Bluetooth: systolický a diastolický tlak, puls; fyzická aktivita prokazatelně snižuje tlak).</t>
        </is>
      </c>
      <c r="E6" s="7">
        <f>INDEX(Úkoly!$D$5:$D$37,MATCH(A6,Úkoly!$A$5:$A$37,0))</f>
        <v/>
      </c>
      <c r="F6" s="10" t="inlineStr">
        <is>
          <t>Hotovo</t>
        </is>
      </c>
      <c r="G6" s="10" t="n"/>
    </row>
    <row r="7">
      <c r="A7" s="7" t="n">
        <v>1</v>
      </c>
      <c r="B7" s="14" t="n"/>
      <c r="C7" s="7" t="inlineStr">
        <is>
          <t>1.3</t>
        </is>
      </c>
      <c r="D7" s="7" t="inlineStr">
        <is>
          <t>Nahlášeno vyučujícímu 8.10.</t>
        </is>
      </c>
      <c r="E7" s="7">
        <f>INDEX(Úkoly!$D$5:$D$37,MATCH(A7,Úkoly!$A$5:$A$37,0))</f>
        <v/>
      </c>
      <c r="F7" s="10" t="inlineStr">
        <is>
          <t>Hotovo</t>
        </is>
      </c>
      <c r="G7" s="10" t="n"/>
    </row>
    <row r="8">
      <c r="A8" s="7" t="n">
        <v>1</v>
      </c>
      <c r="B8" s="14" t="n"/>
      <c r="C8" s="7" t="inlineStr">
        <is>
          <t>1.4</t>
        </is>
      </c>
      <c r="D8" s="7" t="inlineStr">
        <is>
          <t>Zapsat 1–2 věty zdůvodnění volby do Úvodu.</t>
        </is>
      </c>
      <c r="E8" s="7">
        <f>INDEX(Úkoly!$D$5:$D$37,MATCH(A8,Úkoly!$A$5:$A$37,0))</f>
        <v/>
      </c>
      <c r="F8" s="10" t="inlineStr">
        <is>
          <t>Nezahájeno</t>
        </is>
      </c>
      <c r="G8" s="10" t="n"/>
    </row>
    <row r="9" ht="30" customHeight="1">
      <c r="A9" s="15" t="n">
        <v>2</v>
      </c>
      <c r="B9" s="16" t="inlineStr">
        <is>
          <t>Analýza požadavků (funkční i nefunkční)</t>
        </is>
      </c>
      <c r="C9" s="15" t="inlineStr">
        <is>
          <t>2.1</t>
        </is>
      </c>
      <c r="D9" s="15" t="inlineStr">
        <is>
          <t>Cílová skupina: mladí dospělí 18–40 let s léčenou hypertenzí, u nichž hraje roli životní styl (sůl, energetické nápoje, málo pohybu). Vyloučit děti/dospívající a těhotné.</t>
        </is>
      </c>
      <c r="E9" s="15">
        <f>INDEX(Úkoly!$D$5:$D$37,MATCH(A9,Úkoly!$A$5:$A$37,0))</f>
        <v/>
      </c>
      <c r="F9" s="10" t="inlineStr">
        <is>
          <t>Hotovo</t>
        </is>
      </c>
      <c r="G9" s="10" t="n"/>
    </row>
    <row r="10" ht="28.5" customHeight="1">
      <c r="A10" s="15" t="n">
        <v>2</v>
      </c>
      <c r="B10" s="16" t="n"/>
      <c r="C10" s="15" t="inlineStr">
        <is>
          <t>2.2</t>
        </is>
      </c>
      <c r="D10" s="15" t="inlineStr">
        <is>
          <t>Vytvořit 2–3 persony, např. student 22 let (energetické nápoje při zkouškách), IT pracovník 34 let (sedavá práce, slané jídlo), praktický lékař.</t>
        </is>
      </c>
      <c r="E10" s="15">
        <f>INDEX(Úkoly!$D$5:$D$37,MATCH(A10,Úkoly!$A$5:$A$37,0))</f>
        <v/>
      </c>
      <c r="F10" s="10" t="inlineStr">
        <is>
          <t>Rozpracováno</t>
        </is>
      </c>
      <c r="G10" s="10" t="n"/>
    </row>
    <row r="11" ht="42.75" customHeight="1">
      <c r="A11" s="15" t="n">
        <v>2</v>
      </c>
      <c r="B11" s="16" t="n"/>
      <c r="C11" s="15" t="inlineStr">
        <is>
          <t>2.3</t>
        </is>
      </c>
      <c r="D11" s="15" t="inlineStr">
        <is>
          <t>Brainstorming funkčních požadavků po blocích; každý přinese 5–10 požadavků. Nezapomenout na rychlý záznam soli a energetických nápojů a jeho zobrazení lékaři.</t>
        </is>
      </c>
      <c r="E11" s="15">
        <f>INDEX(Úkoly!$D$5:$D$37,MATCH(A11,Úkoly!$A$5:$A$37,0))</f>
        <v/>
      </c>
      <c r="F11" s="10" t="inlineStr">
        <is>
          <t>Hotovo</t>
        </is>
      </c>
      <c r="G11" s="10" t="inlineStr">
        <is>
          <t>Ve společné tabulce; čeká na potvrzení</t>
        </is>
      </c>
    </row>
    <row r="12" ht="28.5" customHeight="1">
      <c r="A12" s="15" t="n">
        <v>2</v>
      </c>
      <c r="B12" s="16" t="n"/>
      <c r="C12" s="15" t="inlineStr">
        <is>
          <t>2.4</t>
        </is>
      </c>
      <c r="D12" s="15" t="inlineStr">
        <is>
          <t>Nefunkční požadavky: bezpečnost, GDPR, dostupnost, offline režim, rychlost zadání (záznam do 3 klepnutí), motivace k pravidelnému používání.</t>
        </is>
      </c>
      <c r="E12" s="15">
        <f>INDEX(Úkoly!$D$5:$D$37,MATCH(A12,Úkoly!$A$5:$A$37,0))</f>
        <v/>
      </c>
      <c r="F12" s="10" t="inlineStr">
        <is>
          <t>Hotovo</t>
        </is>
      </c>
      <c r="G12" s="10" t="inlineStr">
        <is>
          <t>Ve společné tabulce; čeká na potvrzení</t>
        </is>
      </c>
    </row>
    <row r="13" ht="28.5" customHeight="1">
      <c r="A13" s="15" t="n">
        <v>2</v>
      </c>
      <c r="B13" s="16" t="n"/>
      <c r="C13" s="15" t="inlineStr">
        <is>
          <t>2.5</t>
        </is>
      </c>
      <c r="D13" s="15" t="inlineStr">
        <is>
          <t>Očíslovat požadavky (FP-01…, NFP-01…) a přiřadit prioritu MoSCoW; záznam životosprávy jako Must, motivační prvky jako Could.</t>
        </is>
      </c>
      <c r="E13" s="15">
        <f>INDEX(Úkoly!$D$5:$D$37,MATCH(A13,Úkoly!$A$5:$A$37,0))</f>
        <v/>
      </c>
      <c r="F13" s="10" t="inlineStr">
        <is>
          <t>Rozpracováno</t>
        </is>
      </c>
      <c r="G13" s="10" t="inlineStr">
        <is>
          <t>Očíslováno, MoSCoW navrženo – odsouhlasit</t>
        </is>
      </c>
    </row>
    <row r="14">
      <c r="A14" s="15" t="n">
        <v>2</v>
      </c>
      <c r="B14" s="16" t="n"/>
      <c r="C14" s="15" t="inlineStr">
        <is>
          <t>2.6</t>
        </is>
      </c>
      <c r="D14" s="15" t="inlineStr">
        <is>
          <t>Projít s cvičícími a sepsat kapitolu „Analýza požadavků“ (tabulka + úvodní text).</t>
        </is>
      </c>
      <c r="E14" s="15">
        <f>INDEX(Úkoly!$D$5:$D$37,MATCH(A14,Úkoly!$A$5:$A$37,0))</f>
        <v/>
      </c>
      <c r="F14" s="10" t="inlineStr">
        <is>
          <t>Nezahájeno</t>
        </is>
      </c>
      <c r="G14" s="10" t="n"/>
    </row>
    <row r="15" ht="30" customHeight="1">
      <c r="A15" s="7" t="n">
        <v>3</v>
      </c>
      <c r="B15" s="14" t="inlineStr">
        <is>
          <t>Seznam aktérů a hrubé rozhraní mezi bloky</t>
        </is>
      </c>
      <c r="C15" s="7" t="inlineStr">
        <is>
          <t>3.1</t>
        </is>
      </c>
      <c r="D15" s="7" t="inlineStr">
        <is>
          <t>Pro každého aktéra napsat 1 větu: kdo to je a co od systému chce.</t>
        </is>
      </c>
      <c r="E15" s="7">
        <f>INDEX(Úkoly!$D$5:$D$37,MATCH(A15,Úkoly!$A$5:$A$37,0))</f>
        <v/>
      </c>
      <c r="F15" s="10" t="inlineStr">
        <is>
          <t>Rozpracováno</t>
        </is>
      </c>
      <c r="G15" s="10" t="n"/>
    </row>
    <row r="16">
      <c r="A16" s="7" t="n">
        <v>3</v>
      </c>
      <c r="B16" s="14" t="n"/>
      <c r="C16" s="7" t="inlineStr">
        <is>
          <t>3.2</t>
        </is>
      </c>
      <c r="D16" s="7" t="inlineStr">
        <is>
          <t>Určit, kteří aktéři komunikují s kterým blokem (matice aktér × blok).</t>
        </is>
      </c>
      <c r="E16" s="7">
        <f>INDEX(Úkoly!$D$5:$D$37,MATCH(A16,Úkoly!$A$5:$A$37,0))</f>
        <v/>
      </c>
      <c r="F16" s="10" t="inlineStr">
        <is>
          <t>Nezahájeno</t>
        </is>
      </c>
      <c r="G16" s="10" t="n"/>
    </row>
    <row r="17" ht="28.5" customHeight="1">
      <c r="A17" s="7" t="n">
        <v>3</v>
      </c>
      <c r="B17" s="14" t="n"/>
      <c r="C17" s="7" t="inlineStr">
        <is>
          <t>3.3</t>
        </is>
      </c>
      <c r="D17" s="7" t="inlineStr">
        <is>
          <t>Nakreslit hrubé schéma: senzor → aplikace → API → DB ← portál; DB ← integrátor → NIS.</t>
        </is>
      </c>
      <c r="E17" s="7">
        <f>INDEX(Úkoly!$D$5:$D$37,MATCH(A17,Úkoly!$A$5:$A$37,0))</f>
        <v/>
      </c>
      <c r="F17" s="10" t="inlineStr">
        <is>
          <t>Hotovo</t>
        </is>
      </c>
      <c r="G17" s="10" t="n"/>
    </row>
    <row r="18">
      <c r="A18" s="7" t="n">
        <v>3</v>
      </c>
      <c r="B18" s="14" t="n"/>
      <c r="C18" s="7" t="inlineStr">
        <is>
          <t>3.4</t>
        </is>
      </c>
      <c r="D18" s="7" t="inlineStr">
        <is>
          <t>Ke každé šipce napsat, jaká data tečou a jakým směrem.</t>
        </is>
      </c>
      <c r="E18" s="7">
        <f>INDEX(Úkoly!$D$5:$D$37,MATCH(A18,Úkoly!$A$5:$A$37,0))</f>
        <v/>
      </c>
      <c r="F18" s="10" t="inlineStr">
        <is>
          <t>Rozpracováno</t>
        </is>
      </c>
      <c r="G18" s="10" t="n"/>
    </row>
    <row r="19" ht="28.5" customHeight="1">
      <c r="A19" s="7" t="n">
        <v>3</v>
      </c>
      <c r="B19" s="14" t="n"/>
      <c r="C19" s="7" t="inlineStr">
        <is>
          <t>3.5</t>
        </is>
      </c>
      <c r="D19" s="7" t="inlineStr">
        <is>
          <t>Odsouhlasit schéma v týmu; slouží jako podklad pro component diagram a use case diagramy.</t>
        </is>
      </c>
      <c r="E19" s="7">
        <f>INDEX(Úkoly!$D$5:$D$37,MATCH(A19,Úkoly!$A$5:$A$37,0))</f>
        <v/>
      </c>
      <c r="F19" s="10" t="inlineStr">
        <is>
          <t>Nezahájeno</t>
        </is>
      </c>
      <c r="G19" s="10" t="n"/>
    </row>
    <row r="20" ht="45" customHeight="1">
      <c r="A20" s="15" t="n">
        <v>4</v>
      </c>
      <c r="B20" s="16" t="inlineStr">
        <is>
          <t>Component diagram celého systému (kreslí role 3, odsouhlasí všichni)</t>
        </is>
      </c>
      <c r="C20" s="15" t="inlineStr">
        <is>
          <t>4.1</t>
        </is>
      </c>
      <c r="D20" s="15" t="inlineStr">
        <is>
          <t>Nástroj: draw.io (určeno vyučujícím). Vytvořit sdílenou šablonu stylu (barvy, písmo, velikost) ve složce /spolecne.</t>
        </is>
      </c>
      <c r="E20" s="15">
        <f>INDEX(Úkoly!$D$5:$D$37,MATCH(A20,Úkoly!$A$5:$A$37,0))</f>
        <v/>
      </c>
      <c r="F20" s="10" t="inlineStr">
        <is>
          <t>Nezahájeno</t>
        </is>
      </c>
      <c r="G20" s="10" t="n"/>
    </row>
    <row r="21" ht="28.5" customHeight="1">
      <c r="A21" s="15" t="n">
        <v>4</v>
      </c>
      <c r="B21" s="16" t="n"/>
      <c r="C21" s="15" t="inlineStr">
        <is>
          <t>4.2</t>
        </is>
      </c>
      <c r="D21" s="15" t="inlineStr">
        <is>
          <t>Zakreslit komponenty: tlakoměr (BLE), zdroj aktivity (telefon / náramek), pacientská aplikace, WEB API, databáze, webový portál, integrátor NIS, NIS, mailový server.</t>
        </is>
      </c>
      <c r="E21" s="15">
        <f>INDEX(Úkoly!$D$5:$D$37,MATCH(A21,Úkoly!$A$5:$A$37,0))</f>
        <v/>
      </c>
      <c r="F21" s="10" t="inlineStr">
        <is>
          <t>Nezahájeno</t>
        </is>
      </c>
      <c r="G21" s="10" t="n"/>
    </row>
    <row r="22" ht="42.75" customHeight="1">
      <c r="A22" s="15" t="n">
        <v>4</v>
      </c>
      <c r="B22" s="16" t="n"/>
      <c r="C22" s="15" t="inlineStr">
        <is>
          <t>4.3</t>
        </is>
      </c>
      <c r="D22" s="15" t="inlineStr">
        <is>
          <t>Přidat rozhraní (provided/required) a propojení; u každého spoje uvést protokol obecně (BLE, HTTPS/REST, HL7 FHIR, SMTP) – návrh nemá záviset na konkrétní technologii.</t>
        </is>
      </c>
      <c r="E22" s="15">
        <f>INDEX(Úkoly!$D$5:$D$37,MATCH(A22,Úkoly!$A$5:$A$37,0))</f>
        <v/>
      </c>
      <c r="F22" s="10" t="inlineStr">
        <is>
          <t>Nezahájeno</t>
        </is>
      </c>
      <c r="G22" s="10" t="n"/>
    </row>
    <row r="23">
      <c r="A23" s="15" t="n">
        <v>4</v>
      </c>
      <c r="B23" s="16" t="n"/>
      <c r="C23" s="15" t="inlineStr">
        <is>
          <t>4.4</t>
        </is>
      </c>
      <c r="D23" s="15" t="inlineStr">
        <is>
          <t>Vyznačit, že integrátor přistupuje do DB napřímo, bez WEB API (požadavek zadání).</t>
        </is>
      </c>
      <c r="E23" s="15">
        <f>INDEX(Úkoly!$D$5:$D$37,MATCH(A23,Úkoly!$A$5:$A$37,0))</f>
        <v/>
      </c>
      <c r="F23" s="10" t="inlineStr">
        <is>
          <t>Nezahájeno</t>
        </is>
      </c>
      <c r="G23" s="10" t="n"/>
    </row>
    <row r="24">
      <c r="A24" s="15" t="n">
        <v>4</v>
      </c>
      <c r="B24" s="16" t="n"/>
      <c r="C24" s="15" t="inlineStr">
        <is>
          <t>4.5</t>
        </is>
      </c>
      <c r="D24" s="15" t="inlineStr">
        <is>
          <t>Každý vlastník bloku zkontroluje svou část diagramu.</t>
        </is>
      </c>
      <c r="E24" s="15">
        <f>INDEX(Úkoly!$D$5:$D$37,MATCH(A24,Úkoly!$A$5:$A$37,0))</f>
        <v/>
      </c>
      <c r="F24" s="10" t="inlineStr">
        <is>
          <t>Nezahájeno</t>
        </is>
      </c>
      <c r="G24" s="10" t="n"/>
    </row>
    <row r="25" ht="28.5" customHeight="1">
      <c r="A25" s="15" t="n">
        <v>4</v>
      </c>
      <c r="B25" s="16" t="n"/>
      <c r="C25" s="15" t="inlineStr">
        <is>
          <t>4.6</t>
        </is>
      </c>
      <c r="D25" s="15" t="inlineStr">
        <is>
          <t>Sepsat popis propojení celého systému (úvodní odstavec kapitoly Design architektury).</t>
        </is>
      </c>
      <c r="E25" s="15">
        <f>INDEX(Úkoly!$D$5:$D$37,MATCH(A25,Úkoly!$A$5:$A$37,0))</f>
        <v/>
      </c>
      <c r="F25" s="10" t="inlineStr">
        <is>
          <t>Nezahájeno</t>
        </is>
      </c>
      <c r="G25" s="10" t="n"/>
    </row>
    <row r="26" ht="30" customHeight="1">
      <c r="A26" s="7" t="n">
        <v>5</v>
      </c>
      <c r="B26" s="14" t="inlineStr">
        <is>
          <t>Dohoda rozhraní: aplikace→API, portál↔API, integrátor→DB</t>
        </is>
      </c>
      <c r="C26" s="7" t="inlineStr">
        <is>
          <t>5.1</t>
        </is>
      </c>
      <c r="D26" s="7" t="inlineStr">
        <is>
          <t>Aplikace → API: definovat zprávu s měřením (ID pacienta, typ měření, hodnota, jednotka, čas, ID zařízení).</t>
        </is>
      </c>
      <c r="E26" s="7">
        <f>INDEX(Úkoly!$D$5:$D$37,MATCH(A26,Úkoly!$A$5:$A$37,0))</f>
        <v/>
      </c>
      <c r="F26" s="10" t="inlineStr">
        <is>
          <t>Rozpracováno</t>
        </is>
      </c>
      <c r="G26" s="10" t="inlineStr">
        <is>
          <t>Chybí ID zařízení a nepravidelný rytmus.</t>
        </is>
      </c>
    </row>
    <row r="27" ht="28.5" customHeight="1">
      <c r="A27" s="7" t="n">
        <v>5</v>
      </c>
      <c r="B27" s="14" t="n"/>
      <c r="C27" s="7" t="inlineStr">
        <is>
          <t>5.2</t>
        </is>
      </c>
      <c r="D27" s="7" t="inlineStr">
        <is>
          <t>Portál ↔ API: sepsat seznam operací (čtení měření, editace záznamu, správa uživatelů, alerty, poznámky lékaře).</t>
        </is>
      </c>
      <c r="E27" s="7">
        <f>INDEX(Úkoly!$D$5:$D$37,MATCH(A27,Úkoly!$A$5:$A$37,0))</f>
        <v/>
      </c>
      <c r="F27" s="10" t="inlineStr">
        <is>
          <t>Hotovo</t>
        </is>
      </c>
      <c r="G27" s="10" t="n"/>
    </row>
    <row r="28" ht="28.5" customHeight="1">
      <c r="A28" s="7" t="n">
        <v>5</v>
      </c>
      <c r="B28" s="14" t="n"/>
      <c r="C28" s="7" t="inlineStr">
        <is>
          <t>5.3</t>
        </is>
      </c>
      <c r="D28" s="7" t="inlineStr">
        <is>
          <t>Navrhnout hrubý seznam endpointů (např. POST /measurements, GET /patients/{id}/measurements, …) a návratové kódy chyb.</t>
        </is>
      </c>
      <c r="E28" s="7">
        <f>INDEX(Úkoly!$D$5:$D$37,MATCH(A28,Úkoly!$A$5:$A$37,0))</f>
        <v/>
      </c>
      <c r="F28" s="10" t="inlineStr">
        <is>
          <t>Hotovo</t>
        </is>
      </c>
      <c r="G28" s="10" t="n"/>
    </row>
    <row r="29" ht="28.5" customHeight="1">
      <c r="A29" s="7" t="n">
        <v>5</v>
      </c>
      <c r="B29" s="14" t="n"/>
      <c r="C29" s="7" t="inlineStr">
        <is>
          <t>5.4</t>
        </is>
      </c>
      <c r="D29" s="7" t="inlineStr">
        <is>
          <t>Integrátor → DB: určit, které tabulky čte/zapisuje a jak pozná, co už synchronizoval (např. příznak/čas poslední synchronizace).</t>
        </is>
      </c>
      <c r="E29" s="7">
        <f>INDEX(Úkoly!$D$5:$D$37,MATCH(A29,Úkoly!$A$5:$A$37,0))</f>
        <v/>
      </c>
      <c r="F29" s="10" t="inlineStr">
        <is>
          <t>Rozpracováno</t>
        </is>
      </c>
      <c r="G29" s="10" t="n"/>
    </row>
    <row r="30" ht="28.5" customHeight="1">
      <c r="A30" s="7" t="n">
        <v>5</v>
      </c>
      <c r="B30" s="14" t="n"/>
      <c r="C30" s="7" t="inlineStr">
        <is>
          <t>5.5</t>
        </is>
      </c>
      <c r="D30" s="7" t="inlineStr">
        <is>
          <t>Zapsat dohodu do sdíleného dokumentu; každá pozdější změna jen po domluvě s dotčenými vlastníky.</t>
        </is>
      </c>
      <c r="E30" s="7">
        <f>INDEX(Úkoly!$D$5:$D$37,MATCH(A30,Úkoly!$A$5:$A$37,0))</f>
        <v/>
      </c>
      <c r="F30" s="10" t="inlineStr">
        <is>
          <t>Nezahájeno</t>
        </is>
      </c>
      <c r="G30" s="10" t="n"/>
    </row>
    <row r="31" ht="45" customHeight="1">
      <c r="A31" s="15" t="n">
        <v>6</v>
      </c>
      <c r="B31" s="16" t="inlineStr">
        <is>
          <t>Sjednocení bezpečnosti a GDPR (šifrování, autentizace, role)</t>
        </is>
      </c>
      <c r="C31" s="15" t="inlineStr">
        <is>
          <t>6.1</t>
        </is>
      </c>
      <c r="D31" s="15" t="inlineStr">
        <is>
          <t>Určit způsob autentizace (např. OAuth2/OpenID Connect, tokeny) a autorizace (role pacient / lékař / admin).</t>
        </is>
      </c>
      <c r="E31" s="15">
        <f>INDEX(Úkoly!$D$5:$D$37,MATCH(A31,Úkoly!$A$5:$A$37,0))</f>
        <v/>
      </c>
      <c r="F31" s="10" t="inlineStr">
        <is>
          <t>Rozpracováno</t>
        </is>
      </c>
      <c r="G31" s="10" t="n"/>
    </row>
    <row r="32" ht="28.5" customHeight="1">
      <c r="A32" s="15" t="n">
        <v>6</v>
      </c>
      <c r="B32" s="16" t="n"/>
      <c r="C32" s="15" t="inlineStr">
        <is>
          <t>6.2</t>
        </is>
      </c>
      <c r="D32" s="15" t="inlineStr">
        <is>
          <t>Popsat šifrování: přenos (TLS), uložení (šifrování citlivých dat v DB), párování senzoru.</t>
        </is>
      </c>
      <c r="E32" s="15">
        <f>INDEX(Úkoly!$D$5:$D$37,MATCH(A32,Úkoly!$A$5:$A$37,0))</f>
        <v/>
      </c>
      <c r="F32" s="10" t="inlineStr">
        <is>
          <t>Rozpracováno</t>
        </is>
      </c>
      <c r="G32" s="10" t="n"/>
    </row>
    <row r="33" ht="28.5" customHeight="1">
      <c r="A33" s="15" t="n">
        <v>6</v>
      </c>
      <c r="B33" s="16" t="n"/>
      <c r="C33" s="15" t="inlineStr">
        <is>
          <t>6.3</t>
        </is>
      </c>
      <c r="D33" s="15" t="inlineStr">
        <is>
          <t>GDPR: jaká osobní/zdravotní data se zpracovávají, souhlas pacienta, právo na výmaz a export, doba uchování.</t>
        </is>
      </c>
      <c r="E33" s="15">
        <f>INDEX(Úkoly!$D$5:$D$37,MATCH(A33,Úkoly!$A$5:$A$37,0))</f>
        <v/>
      </c>
      <c r="F33" s="10" t="inlineStr">
        <is>
          <t>Rozpracováno</t>
        </is>
      </c>
      <c r="G33" s="10" t="n"/>
    </row>
    <row r="34">
      <c r="A34" s="15" t="n">
        <v>6</v>
      </c>
      <c r="B34" s="16" t="n"/>
      <c r="C34" s="15" t="inlineStr">
        <is>
          <t>6.4</t>
        </is>
      </c>
      <c r="D34" s="15" t="inlineStr">
        <is>
          <t>Logování a audit přístupů ke zdravotním datům (kdo, kdy, co viděl/změnil).</t>
        </is>
      </c>
      <c r="E34" s="15">
        <f>INDEX(Úkoly!$D$5:$D$37,MATCH(A34,Úkoly!$A$5:$A$37,0))</f>
        <v/>
      </c>
      <c r="F34" s="10" t="inlineStr">
        <is>
          <t>Hotovo</t>
        </is>
      </c>
      <c r="G34" s="10" t="n"/>
    </row>
    <row r="35">
      <c r="A35" s="15" t="n">
        <v>6</v>
      </c>
      <c r="B35" s="16" t="n"/>
      <c r="C35" s="15" t="inlineStr">
        <is>
          <t>6.5</t>
        </is>
      </c>
      <c r="D35" s="15" t="inlineStr">
        <is>
          <t>Sepsat krátkou podkapitolu Bezpečnost a každý ji zmíní ve svém bloku.</t>
        </is>
      </c>
      <c r="E35" s="15">
        <f>INDEX(Úkoly!$D$5:$D$37,MATCH(A35,Úkoly!$A$5:$A$37,0))</f>
        <v/>
      </c>
      <c r="F35" s="10" t="inlineStr">
        <is>
          <t>Nezahájeno</t>
        </is>
      </c>
      <c r="G35" s="10" t="n"/>
    </row>
    <row r="36" ht="30" customHeight="1">
      <c r="A36" s="7" t="n">
        <v>7</v>
      </c>
      <c r="B36" s="14" t="inlineStr">
        <is>
          <t>Use case diagram – pacientská aplikace</t>
        </is>
      </c>
      <c r="C36" s="7" t="inlineStr">
        <is>
          <t>7.1</t>
        </is>
      </c>
      <c r="D36" s="7" t="inlineStr">
        <is>
          <t>Aktéři (min. 2, každý min. 4 use casy): Pacient, Tlakoměr.</t>
        </is>
      </c>
      <c r="E36" s="7">
        <f>INDEX(Úkoly!$D$5:$D$37,MATCH(A36,Úkoly!$A$5:$A$37,0))</f>
        <v/>
      </c>
      <c r="F36" s="10" t="inlineStr">
        <is>
          <t>Rozpracováno</t>
        </is>
      </c>
      <c r="G36" s="10" t="inlineStr">
        <is>
          <t>Tlakoměr i WEB API mají v .drawio jen 2 UC.</t>
        </is>
      </c>
    </row>
    <row r="37" ht="42.75" customHeight="1">
      <c r="A37" s="7" t="n">
        <v>7</v>
      </c>
      <c r="B37" s="14" t="n"/>
      <c r="C37" s="7" t="inlineStr">
        <is>
          <t>7.2</t>
        </is>
      </c>
      <c r="D37" s="7" t="inlineStr">
        <is>
          <t>Pacient: přihlásit se; spárovat tlakoměr; provést měření podle průvodce; prohlížet historii tlaku a graf; rychle zaznamenat energetický nápoj; rychle zaznamenat slané jídlo; nastavit připomínky; zobrazit doporučení lékaře.</t>
        </is>
      </c>
      <c r="E37" s="7">
        <f>INDEX(Úkoly!$D$5:$D$37,MATCH(A37,Úkoly!$A$5:$A$37,0))</f>
        <v/>
      </c>
      <c r="F37" s="10" t="inlineStr">
        <is>
          <t>Rozpracováno</t>
        </is>
      </c>
      <c r="G37" s="10" t="n"/>
    </row>
    <row r="38" ht="28.5" customHeight="1">
      <c r="A38" s="7" t="n">
        <v>7</v>
      </c>
      <c r="B38" s="14" t="n"/>
      <c r="C38" s="7" t="inlineStr">
        <is>
          <t>7.3</t>
        </is>
      </c>
      <c r="D38" s="7" t="inlineStr">
        <is>
          <t>Tlakoměr: odeslat naměřené hodnoty (SYS, DIA, puls, čas); oznámit nepravidelný srdeční rytmus; oznámit chybu měření; oznámit stav baterie.</t>
        </is>
      </c>
      <c r="E38" s="7">
        <f>INDEX(Úkoly!$D$5:$D$37,MATCH(A38,Úkoly!$A$5:$A$37,0))</f>
        <v/>
      </c>
      <c r="F38" s="10" t="inlineStr">
        <is>
          <t>Rozpracováno</t>
        </is>
      </c>
      <c r="G38" s="10" t="n"/>
    </row>
    <row r="39" ht="28.5" customHeight="1">
      <c r="A39" s="7" t="n">
        <v>7</v>
      </c>
      <c r="B39" s="14" t="n"/>
      <c r="C39" s="7" t="inlineStr">
        <is>
          <t>7.4</t>
        </is>
      </c>
      <c r="D39" s="7" t="inlineStr">
        <is>
          <t>Doplnit vztahy include/extend (např. „Provést měření“ include „Odeslat data na server“; „Zobrazit graf“ extend „Zobrazit záznamy životosprávy“).</t>
        </is>
      </c>
      <c r="E39" s="7">
        <f>INDEX(Úkoly!$D$5:$D$37,MATCH(A39,Úkoly!$A$5:$A$37,0))</f>
        <v/>
      </c>
      <c r="F39" s="10" t="inlineStr">
        <is>
          <t>Rozpracováno</t>
        </is>
      </c>
      <c r="G39" s="10" t="n"/>
    </row>
    <row r="40">
      <c r="A40" s="7" t="n">
        <v>7</v>
      </c>
      <c r="B40" s="14" t="n"/>
      <c r="C40" s="7" t="inlineStr">
        <is>
          <t>7.5</t>
        </is>
      </c>
      <c r="D40" s="7" t="inlineStr">
        <is>
          <t>Nakreslit v draw.io ve společném stylu.</t>
        </is>
      </c>
      <c r="E40" s="7">
        <f>INDEX(Úkoly!$D$5:$D$37,MATCH(A40,Úkoly!$A$5:$A$37,0))</f>
        <v/>
      </c>
      <c r="F40" s="10" t="inlineStr">
        <is>
          <t>Hotovo</t>
        </is>
      </c>
      <c r="G40" s="10" t="n"/>
    </row>
    <row r="41" ht="28.5" customHeight="1">
      <c r="A41" s="7" t="n">
        <v>7</v>
      </c>
      <c r="B41" s="14" t="n"/>
      <c r="C41" s="7" t="inlineStr">
        <is>
          <t>7.6</t>
        </is>
      </c>
      <c r="D41" s="7" t="inlineStr">
        <is>
          <t>Ke 2–3 klíčovým use casům napsat krátký scénář (měření, rychlý záznam energetického nápoje).</t>
        </is>
      </c>
      <c r="E41" s="7">
        <f>INDEX(Úkoly!$D$5:$D$37,MATCH(A41,Úkoly!$A$5:$A$37,0))</f>
        <v/>
      </c>
      <c r="F41" s="10" t="inlineStr">
        <is>
          <t>Hotovo</t>
        </is>
      </c>
      <c r="G41" s="10" t="n"/>
    </row>
    <row r="42">
      <c r="A42" s="7" t="n">
        <v>7</v>
      </c>
      <c r="B42" s="14" t="n"/>
      <c r="C42" s="7" t="inlineStr">
        <is>
          <t>7.7</t>
        </is>
      </c>
      <c r="D42" s="7" t="inlineStr">
        <is>
          <t>Zkontrolovat: ≥ 2 aktéři a každý ≥ 4 use casy.</t>
        </is>
      </c>
      <c r="E42" s="7">
        <f>INDEX(Úkoly!$D$5:$D$37,MATCH(A42,Úkoly!$A$5:$A$37,0))</f>
        <v/>
      </c>
      <c r="F42" s="10" t="inlineStr">
        <is>
          <t>Rozpracováno</t>
        </is>
      </c>
      <c r="G42" s="10" t="n"/>
    </row>
    <row r="43" ht="30" customHeight="1">
      <c r="A43" s="15" t="n">
        <v>8</v>
      </c>
      <c r="B43" s="16" t="inlineStr">
        <is>
          <t>Stavový diagram – připojení senzoru (párování/BLE)</t>
        </is>
      </c>
      <c r="C43" s="15" t="inlineStr">
        <is>
          <t>8.1</t>
        </is>
      </c>
      <c r="D43" s="15" t="inlineStr">
        <is>
          <t>Stavy (min. 4): Nespárováno, Vyhledávání tlakoměru, Párování, Připojeno, Odpojeno, Chyba.</t>
        </is>
      </c>
      <c r="E43" s="15">
        <f>INDEX(Úkoly!$D$5:$D$37,MATCH(A43,Úkoly!$A$5:$A$37,0))</f>
        <v/>
      </c>
      <c r="F43" s="10" t="inlineStr">
        <is>
          <t>Hotovo</t>
        </is>
      </c>
      <c r="G43" s="10" t="n"/>
    </row>
    <row r="44" ht="28.5" customHeight="1">
      <c r="A44" s="15" t="n">
        <v>8</v>
      </c>
      <c r="B44" s="16" t="n"/>
      <c r="C44" s="15" t="inlineStr">
        <is>
          <t>8.2</t>
        </is>
      </c>
      <c r="D44" s="15" t="inlineStr">
        <is>
          <t>Přechody a události: tlakoměr nalezen, timeout, ztráta signálu, tlakoměr se vypnul, opětovné připojení.</t>
        </is>
      </c>
      <c r="E44" s="15">
        <f>INDEX(Úkoly!$D$5:$D$37,MATCH(A44,Úkoly!$A$5:$A$37,0))</f>
        <v/>
      </c>
      <c r="F44" s="10" t="inlineStr">
        <is>
          <t>Hotovo</t>
        </is>
      </c>
      <c r="G44" s="10" t="n"/>
    </row>
    <row r="45">
      <c r="A45" s="15" t="n">
        <v>8</v>
      </c>
      <c r="B45" s="16" t="n"/>
      <c r="C45" s="15" t="inlineStr">
        <is>
          <t>8.3</t>
        </is>
      </c>
      <c r="D45" s="15" t="inlineStr">
        <is>
          <t>Doplnit počáteční a koncový stav a podmínky přechodů.</t>
        </is>
      </c>
      <c r="E45" s="15">
        <f>INDEX(Úkoly!$D$5:$D$37,MATCH(A45,Úkoly!$A$5:$A$37,0))</f>
        <v/>
      </c>
      <c r="F45" s="10" t="inlineStr">
        <is>
          <t>Rozpracováno</t>
        </is>
      </c>
      <c r="G45" s="10" t="inlineStr">
        <is>
          <t>Chybí počáteční stav.</t>
        </is>
      </c>
    </row>
    <row r="46">
      <c r="A46" s="15" t="n">
        <v>8</v>
      </c>
      <c r="B46" s="16" t="n"/>
      <c r="C46" s="15" t="inlineStr">
        <is>
          <t>8.4</t>
        </is>
      </c>
      <c r="D46" s="15" t="inlineStr">
        <is>
          <t>Nakreslit v draw.io a napsat k diagramu odstavec popisu.</t>
        </is>
      </c>
      <c r="E46" s="15">
        <f>INDEX(Úkoly!$D$5:$D$37,MATCH(A46,Úkoly!$A$5:$A$37,0))</f>
        <v/>
      </c>
      <c r="F46" s="10" t="inlineStr">
        <is>
          <t>Rozpracováno</t>
        </is>
      </c>
      <c r="G46" s="10" t="n"/>
    </row>
    <row r="47" ht="30" customHeight="1">
      <c r="A47" s="7" t="n">
        <v>9</v>
      </c>
      <c r="B47" s="14" t="inlineStr">
        <is>
          <t>Stavový diagram – měření a odeslání dat vč. offline</t>
        </is>
      </c>
      <c r="C47" s="7" t="inlineStr">
        <is>
          <t>9.1</t>
        </is>
      </c>
      <c r="D47" s="7" t="inlineStr">
        <is>
          <t>Stavy: Čeká na měření, Průvodce (klid 5 min, manžeta na paži), Měření, Validace hodnoty, Uloženo lokálně, Odesílání, Odesláno, Chyba odeslání.</t>
        </is>
      </c>
      <c r="E47" s="7">
        <f>INDEX(Úkoly!$D$5:$D$37,MATCH(A47,Úkoly!$A$5:$A$37,0))</f>
        <v/>
      </c>
      <c r="F47" s="10" t="inlineStr">
        <is>
          <t>Rozpracováno</t>
        </is>
      </c>
      <c r="G47" s="10" t="n"/>
    </row>
    <row r="48" ht="28.5" customHeight="1">
      <c r="A48" s="7" t="n">
        <v>9</v>
      </c>
      <c r="B48" s="14" t="n"/>
      <c r="C48" s="7" t="inlineStr">
        <is>
          <t>9.2</t>
        </is>
      </c>
      <c r="D48" s="7" t="inlineStr">
        <is>
          <t>Protokol měření dle doporučení ESH: 2 měření po sobě ráno a večer; aplikace hlídá, že proběhla obě.</t>
        </is>
      </c>
      <c r="E48" s="7">
        <f>INDEX(Úkoly!$D$5:$D$37,MATCH(A48,Úkoly!$A$5:$A$37,0))</f>
        <v/>
      </c>
      <c r="F48" s="10" t="inlineStr">
        <is>
          <t>Nezahájeno</t>
        </is>
      </c>
      <c r="G48" s="10" t="n"/>
    </row>
    <row r="49" ht="28.5" customHeight="1">
      <c r="A49" s="7" t="n">
        <v>9</v>
      </c>
      <c r="B49" s="14" t="n"/>
      <c r="C49" s="7" t="inlineStr">
        <is>
          <t>9.3</t>
        </is>
      </c>
      <c r="D49" s="7" t="inlineStr">
        <is>
          <t>Validace: hodnoty mimo možný rozsah = chyba měření; velmi vysoká hodnota (kolem 180/110) = okamžité odeslání s prioritou a výzva pacientovi.</t>
        </is>
      </c>
      <c r="E49" s="7">
        <f>INDEX(Úkoly!$D$5:$D$37,MATCH(A49,Úkoly!$A$5:$A$37,0))</f>
        <v/>
      </c>
      <c r="F49" s="10" t="inlineStr">
        <is>
          <t>Rozpracováno</t>
        </is>
      </c>
      <c r="G49" s="10" t="n"/>
    </row>
    <row r="50" ht="28.5" customHeight="1">
      <c r="A50" s="7" t="n">
        <v>9</v>
      </c>
      <c r="B50" s="14" t="n"/>
      <c r="C50" s="7" t="inlineStr">
        <is>
          <t>9.4</t>
        </is>
      </c>
      <c r="D50" s="7" t="inlineStr">
        <is>
          <t>Offline režim: data se uloží lokálně a odešlou po obnovení připojení (opakované pokusy).</t>
        </is>
      </c>
      <c r="E50" s="7">
        <f>INDEX(Úkoly!$D$5:$D$37,MATCH(A50,Úkoly!$A$5:$A$37,0))</f>
        <v/>
      </c>
      <c r="F50" s="10" t="inlineStr">
        <is>
          <t>Hotovo</t>
        </is>
      </c>
      <c r="G50" s="10" t="n"/>
    </row>
    <row r="51">
      <c r="A51" s="7" t="n">
        <v>9</v>
      </c>
      <c r="B51" s="14" t="n"/>
      <c r="C51" s="7" t="inlineStr">
        <is>
          <t>9.5</t>
        </is>
      </c>
      <c r="D51" s="7" t="inlineStr">
        <is>
          <t>Nakreslit v draw.io a napsat k diagramu odstavec popisu.</t>
        </is>
      </c>
      <c r="E51" s="7">
        <f>INDEX(Úkoly!$D$5:$D$37,MATCH(A51,Úkoly!$A$5:$A$37,0))</f>
        <v/>
      </c>
      <c r="F51" s="10" t="inlineStr">
        <is>
          <t>Rozpracováno</t>
        </is>
      </c>
      <c r="G51" s="10" t="inlineStr">
        <is>
          <t>Chybí počáteční/koncový stav a popis.</t>
        </is>
      </c>
    </row>
    <row r="52" ht="30" customHeight="1">
      <c r="A52" s="15" t="n">
        <v>10</v>
      </c>
      <c r="B52" s="16" t="inlineStr">
        <is>
          <t>Popis pacientské části v component diagramu</t>
        </is>
      </c>
      <c r="C52" s="15" t="inlineStr">
        <is>
          <t>10.1</t>
        </is>
      </c>
      <c r="D52" s="15" t="inlineStr">
        <is>
          <t>Popsat roli pacientské části a komunikaci s tlakoměrem (BLE) a s API.</t>
        </is>
      </c>
      <c r="E52" s="15">
        <f>INDEX(Úkoly!$D$5:$D$37,MATCH(A52,Úkoly!$A$5:$A$37,0))</f>
        <v/>
      </c>
      <c r="F52" s="10" t="inlineStr">
        <is>
          <t>Hotovo</t>
        </is>
      </c>
      <c r="G52" s="10" t="n"/>
    </row>
    <row r="53" ht="42.75" customHeight="1">
      <c r="A53" s="15" t="n">
        <v>10</v>
      </c>
      <c r="B53" s="16" t="n"/>
      <c r="C53" s="15" t="inlineStr">
        <is>
          <t>10.2</t>
        </is>
      </c>
      <c r="D53" s="15" t="inlineStr">
        <is>
          <t>Moduly aplikace: komunikace s tlakoměrem, průvodce měřením, rychlý záznam životosprávy, lokální úložiště, synchronizace, sledování aktivity, připomínky, motivační prvky.</t>
        </is>
      </c>
      <c r="E53" s="15">
        <f>INDEX(Úkoly!$D$5:$D$37,MATCH(A53,Úkoly!$A$5:$A$37,0))</f>
        <v/>
      </c>
      <c r="F53" s="10" t="inlineStr">
        <is>
          <t>Rozpracováno</t>
        </is>
      </c>
      <c r="G53" s="10" t="n"/>
    </row>
    <row r="54" ht="42.75" customHeight="1">
      <c r="A54" s="15" t="n">
        <v>10</v>
      </c>
      <c r="B54" s="16" t="n"/>
      <c r="C54" s="15" t="inlineStr">
        <is>
          <t>10.3</t>
        </is>
      </c>
      <c r="D54" s="15" t="inlineStr">
        <is>
          <t>Rychlý záznam: energetický nápoj (+1 plechovka, volitelně káva), slané jídlo (málo / středně / hodně). Žádné vážení jídla ani databáze potravin. Data zadává pacient ručně – uvést jako omezení.</t>
        </is>
      </c>
      <c r="E54" s="15">
        <f>INDEX(Úkoly!$D$5:$D$37,MATCH(A54,Úkoly!$A$5:$A$37,0))</f>
        <v/>
      </c>
      <c r="F54" s="10" t="inlineStr">
        <is>
          <t>Rozpracováno</t>
        </is>
      </c>
      <c r="G54" s="10" t="n"/>
    </row>
    <row r="55" ht="28.5" customHeight="1">
      <c r="A55" s="15" t="n">
        <v>10</v>
      </c>
      <c r="B55" s="16" t="n"/>
      <c r="C55" s="15" t="inlineStr">
        <is>
          <t>10.4</t>
        </is>
      </c>
      <c r="D55" s="15" t="inlineStr">
        <is>
          <t>Fyzická aktivita: výchozí volba = senzory telefonu (kroky, aktivní minuty), volitelně náramek/hodinky. Ověřit s vyučujícími (list Rozhodnutí).</t>
        </is>
      </c>
      <c r="E55" s="15">
        <f>INDEX(Úkoly!$D$5:$D$37,MATCH(A55,Úkoly!$A$5:$A$37,0))</f>
        <v/>
      </c>
      <c r="F55" s="10" t="inlineStr">
        <is>
          <t>Rozpracováno</t>
        </is>
      </c>
      <c r="G55" s="10" t="n"/>
    </row>
    <row r="56">
      <c r="A56" s="15" t="n">
        <v>10</v>
      </c>
      <c r="B56" s="16" t="n"/>
      <c r="C56" s="15" t="inlineStr">
        <is>
          <t>10.5</t>
        </is>
      </c>
      <c r="D56" s="15" t="inlineStr">
        <is>
          <t>Uvést požadavky na zařízení (mobilní aplikace; OS, Bluetooth, oprávnění).</t>
        </is>
      </c>
      <c r="E56" s="15">
        <f>INDEX(Úkoly!$D$5:$D$37,MATCH(A56,Úkoly!$A$5:$A$37,0))</f>
        <v/>
      </c>
      <c r="F56" s="10" t="inlineStr">
        <is>
          <t>Rozpracováno</t>
        </is>
      </c>
      <c r="G56" s="10" t="n"/>
    </row>
    <row r="57">
      <c r="A57" s="15" t="n">
        <v>10</v>
      </c>
      <c r="B57" s="16" t="n"/>
      <c r="C57" s="15" t="inlineStr">
        <is>
          <t>10.6</t>
        </is>
      </c>
      <c r="D57" s="15" t="inlineStr">
        <is>
          <t>Napsat text (cca 1 strana) a zkontrolovat soulad s component diagramem.</t>
        </is>
      </c>
      <c r="E57" s="15">
        <f>INDEX(Úkoly!$D$5:$D$37,MATCH(A57,Úkoly!$A$5:$A$37,0))</f>
        <v/>
      </c>
      <c r="F57" s="10" t="inlineStr">
        <is>
          <t>Rozpracováno</t>
        </is>
      </c>
      <c r="G57" s="10" t="n"/>
    </row>
    <row r="58" ht="42.75" customHeight="1">
      <c r="A58" s="7" t="n">
        <v>11</v>
      </c>
      <c r="B58" s="14" t="inlineStr">
        <is>
          <t>Návrh GUI – mobilní aplikace</t>
        </is>
      </c>
      <c r="C58" s="7" t="inlineStr">
        <is>
          <t>11.1</t>
        </is>
      </c>
      <c r="D58" s="7" t="inlineStr">
        <is>
          <t>Obrazovky: přihlášení, dashboard (poslední tlak + semafor, dnešní nápoje a sůl, kroky), průvodce měřením, rychlý záznam (velká tlačítka, max. 3 klepnutí), historie s grafem tlaku a vyznačenými záznamy, připomínky, spárování tlakoměru.</t>
        </is>
      </c>
      <c r="E58" s="7">
        <f>INDEX(Úkoly!$D$5:$D$37,MATCH(A58,Úkoly!$A$5:$A$37,0))</f>
        <v/>
      </c>
      <c r="F58" s="10" t="inlineStr">
        <is>
          <t>Rozpracováno</t>
        </is>
      </c>
      <c r="G58" s="10" t="n"/>
    </row>
    <row r="59" ht="28.5" customHeight="1">
      <c r="A59" s="7" t="n">
        <v>11</v>
      </c>
      <c r="B59" s="14" t="n"/>
      <c r="C59" s="7" t="inlineStr">
        <is>
          <t>11.2</t>
        </is>
      </c>
      <c r="D59" s="7" t="inlineStr">
        <is>
          <t>Motivační prvky: série dnů bez energetického nápoje, týdenní souhrn („tlak vs. energetické nápoje“).</t>
        </is>
      </c>
      <c r="E59" s="7">
        <f>INDEX(Úkoly!$D$5:$D$37,MATCH(A59,Úkoly!$A$5:$A$37,0))</f>
        <v/>
      </c>
      <c r="F59" s="10" t="inlineStr">
        <is>
          <t>Nezahájeno</t>
        </is>
      </c>
      <c r="G59" s="10" t="n"/>
    </row>
    <row r="60" ht="28.5" customHeight="1">
      <c r="A60" s="7" t="n">
        <v>11</v>
      </c>
      <c r="B60" s="14" t="n"/>
      <c r="C60" s="7" t="inlineStr">
        <is>
          <t>11.3</t>
        </is>
      </c>
      <c r="D60" s="7" t="inlineStr">
        <is>
          <t>Nakreslit wireframy (draw.io nebo Figma); moderní vzhled pro mladé uživatele, tmavý režim.</t>
        </is>
      </c>
      <c r="E60" s="7">
        <f>INDEX(Úkoly!$D$5:$D$37,MATCH(A60,Úkoly!$A$5:$A$37,0))</f>
        <v/>
      </c>
      <c r="F60" s="10" t="inlineStr">
        <is>
          <t>Rozpracováno</t>
        </is>
      </c>
      <c r="G60" s="10" t="n"/>
    </row>
    <row r="61">
      <c r="A61" s="7" t="n">
        <v>11</v>
      </c>
      <c r="B61" s="14" t="n"/>
      <c r="C61" s="7" t="inlineStr">
        <is>
          <t>11.4</t>
        </is>
      </c>
      <c r="D61" s="7" t="inlineStr">
        <is>
          <t>Vybrané obrazovky dotáhnout do mockupu pro prezentaci.</t>
        </is>
      </c>
      <c r="E61" s="7">
        <f>INDEX(Úkoly!$D$5:$D$37,MATCH(A61,Úkoly!$A$5:$A$37,0))</f>
        <v/>
      </c>
      <c r="F61" s="10" t="inlineStr">
        <is>
          <t>Nezahájeno</t>
        </is>
      </c>
      <c r="G61" s="10" t="n"/>
    </row>
    <row r="62">
      <c r="A62" s="7" t="n">
        <v>11</v>
      </c>
      <c r="B62" s="14" t="n"/>
      <c r="C62" s="7" t="inlineStr">
        <is>
          <t>11.5</t>
        </is>
      </c>
      <c r="D62" s="7" t="inlineStr">
        <is>
          <t>Ke každé obrazovce napsat 1–2 věty popisu a vložit do dokumentu.</t>
        </is>
      </c>
      <c r="E62" s="7">
        <f>INDEX(Úkoly!$D$5:$D$37,MATCH(A62,Úkoly!$A$5:$A$37,0))</f>
        <v/>
      </c>
      <c r="F62" s="10" t="inlineStr">
        <is>
          <t>Rozpracováno</t>
        </is>
      </c>
      <c r="G62" s="10" t="n"/>
    </row>
    <row r="63" ht="30" customHeight="1">
      <c r="A63" s="15" t="n">
        <v>12</v>
      </c>
      <c r="B63" s="16" t="inlineStr">
        <is>
          <t>Kapitola Údržba + distribuce updatů</t>
        </is>
      </c>
      <c r="C63" s="15" t="inlineStr">
        <is>
          <t>12.1</t>
        </is>
      </c>
      <c r="D63" s="15" t="inlineStr">
        <is>
          <t>Popsat typy údržby: opravná, adaptivní (nové verze OS), preventivní, zdokonalovací.</t>
        </is>
      </c>
      <c r="E63" s="15">
        <f>INDEX(Úkoly!$D$5:$D$37,MATCH(A63,Úkoly!$A$5:$A$37,0))</f>
        <v/>
      </c>
      <c r="F63" s="10" t="inlineStr">
        <is>
          <t>Nezahájeno</t>
        </is>
      </c>
      <c r="G63" s="10" t="n"/>
    </row>
    <row r="64">
      <c r="A64" s="15" t="n">
        <v>12</v>
      </c>
      <c r="B64" s="16" t="n"/>
      <c r="C64" s="15" t="inlineStr">
        <is>
          <t>12.2</t>
        </is>
      </c>
      <c r="D64" s="15" t="inlineStr">
        <is>
          <t>Popsat monitoring provozu (logy, chybovost, dostupnost) a reakci na incidenty.</t>
        </is>
      </c>
      <c r="E64" s="15">
        <f>INDEX(Úkoly!$D$5:$D$37,MATCH(A64,Úkoly!$A$5:$A$37,0))</f>
        <v/>
      </c>
      <c r="F64" s="10" t="inlineStr">
        <is>
          <t>Rozpracováno</t>
        </is>
      </c>
      <c r="G64" s="10" t="n"/>
    </row>
    <row r="65" ht="28.5" customHeight="1">
      <c r="A65" s="15" t="n">
        <v>12</v>
      </c>
      <c r="B65" s="16" t="n"/>
      <c r="C65" s="15" t="inlineStr">
        <is>
          <t>12.3</t>
        </is>
      </c>
      <c r="D65" s="15" t="inlineStr">
        <is>
          <t>Distribuce updatů mobilní aplikace: App Store / Google Play, postupné nasazení, vynucení minimální verze.</t>
        </is>
      </c>
      <c r="E65" s="15">
        <f>INDEX(Úkoly!$D$5:$D$37,MATCH(A65,Úkoly!$A$5:$A$37,0))</f>
        <v/>
      </c>
      <c r="F65" s="10" t="inlineStr">
        <is>
          <t>Hotovo</t>
        </is>
      </c>
      <c r="G65" s="10" t="n"/>
    </row>
    <row r="66" ht="28.5" customHeight="1">
      <c r="A66" s="15" t="n">
        <v>12</v>
      </c>
      <c r="B66" s="16" t="n"/>
      <c r="C66" s="15" t="inlineStr">
        <is>
          <t>12.4</t>
        </is>
      </c>
      <c r="D66" s="15" t="inlineStr">
        <is>
          <t>Updaty serveru (API, portál, integrátor): plánovaná okna, nasazení bez výpadku, rollback.</t>
        </is>
      </c>
      <c r="E66" s="15">
        <f>INDEX(Úkoly!$D$5:$D$37,MATCH(A66,Úkoly!$A$5:$A$37,0))</f>
        <v/>
      </c>
      <c r="F66" s="10" t="inlineStr">
        <is>
          <t>Nezahájeno</t>
        </is>
      </c>
      <c r="G66" s="10" t="n"/>
    </row>
    <row r="67">
      <c r="A67" s="15" t="n">
        <v>12</v>
      </c>
      <c r="B67" s="16" t="n"/>
      <c r="C67" s="15" t="inlineStr">
        <is>
          <t>12.5</t>
        </is>
      </c>
      <c r="D67" s="15" t="inlineStr">
        <is>
          <t>Updaty firmwaru senzoru (OTA přes aplikaci, pokud to výrobce podporuje).</t>
        </is>
      </c>
      <c r="E67" s="15">
        <f>INDEX(Úkoly!$D$5:$D$37,MATCH(A67,Úkoly!$A$5:$A$37,0))</f>
        <v/>
      </c>
      <c r="F67" s="10" t="inlineStr">
        <is>
          <t>Hotovo</t>
        </is>
      </c>
      <c r="G67" s="10" t="n"/>
    </row>
    <row r="68">
      <c r="A68" s="15" t="n">
        <v>12</v>
      </c>
      <c r="B68" s="16" t="n"/>
      <c r="C68" s="15" t="inlineStr">
        <is>
          <t>12.6</t>
        </is>
      </c>
      <c r="D68" s="15" t="inlineStr">
        <is>
          <t>Napsat kapitolu (cca 1–1,5 strany).</t>
        </is>
      </c>
      <c r="E68" s="15">
        <f>INDEX(Úkoly!$D$5:$D$37,MATCH(A68,Úkoly!$A$5:$A$37,0))</f>
        <v/>
      </c>
      <c r="F68" s="10" t="inlineStr">
        <is>
          <t>Rozpracováno</t>
        </is>
      </c>
      <c r="G68" s="10" t="n"/>
    </row>
    <row r="69" ht="30" customHeight="1">
      <c r="A69" s="7" t="n">
        <v>13</v>
      </c>
      <c r="B69" s="14" t="inlineStr">
        <is>
          <t>Use case diagram – webový portál</t>
        </is>
      </c>
      <c r="C69" s="7" t="inlineStr">
        <is>
          <t>13.1</t>
        </is>
      </c>
      <c r="D69" s="7" t="inlineStr">
        <is>
          <t>Aktéři (min. 2, každý min. 4 use casy): Pacient, Lékař; případně Administrátor.</t>
        </is>
      </c>
      <c r="E69" s="7">
        <f>INDEX(Úkoly!$D$5:$D$37,MATCH(A69,Úkoly!$A$5:$A$37,0))</f>
        <v/>
      </c>
      <c r="F69" s="10" t="inlineStr">
        <is>
          <t>Hotovo</t>
        </is>
      </c>
      <c r="G69" s="10" t="n"/>
    </row>
    <row r="70" ht="28.5" customHeight="1">
      <c r="A70" s="7" t="n">
        <v>13</v>
      </c>
      <c r="B70" s="14" t="n"/>
      <c r="C70" s="7" t="inlineStr">
        <is>
          <t>13.2</t>
        </is>
      </c>
      <c r="D70" s="7" t="inlineStr">
        <is>
          <t>Pacient: přihlásit se; prohlížet měření a grafy; zobrazit týdenní souhrn tlaku a životosprávy; exportovat data; číst doporučení lékaře.</t>
        </is>
      </c>
      <c r="E70" s="7">
        <f>INDEX(Úkoly!$D$5:$D$37,MATCH(A70,Úkoly!$A$5:$A$37,0))</f>
        <v/>
      </c>
      <c r="F70" s="10" t="inlineStr">
        <is>
          <t>Hotovo</t>
        </is>
      </c>
      <c r="G70" s="10" t="n"/>
    </row>
    <row r="71" ht="42.75" customHeight="1">
      <c r="A71" s="7" t="n">
        <v>13</v>
      </c>
      <c r="B71" s="14" t="n"/>
      <c r="C71" s="7" t="inlineStr">
        <is>
          <t>13.3</t>
        </is>
      </c>
      <c r="D71" s="7" t="inlineStr">
        <is>
          <t>Lékař: seznam pacientů seřazený podle rizika; detail pacienta (tlak + aktivita + sůl a nápoje v jednom grafu); nastavit individuální cílový tlak a limity alertů; nastavit doporučený limit energetických nápojů; potvrdit/vyřešit alert; zapsat doporučení.</t>
        </is>
      </c>
      <c r="E71" s="7">
        <f>INDEX(Úkoly!$D$5:$D$37,MATCH(A71,Úkoly!$A$5:$A$37,0))</f>
        <v/>
      </c>
      <c r="F71" s="10" t="inlineStr">
        <is>
          <t>Hotovo</t>
        </is>
      </c>
      <c r="G71" s="10" t="n"/>
    </row>
    <row r="72">
      <c r="A72" s="7" t="n">
        <v>13</v>
      </c>
      <c r="B72" s="14" t="n"/>
      <c r="C72" s="7" t="inlineStr">
        <is>
          <t>13.4</t>
        </is>
      </c>
      <c r="D72" s="7" t="inlineStr">
        <is>
          <t>Administrátor: správa uživatelů, přiřazení pacienta lékaři, správa rolí.</t>
        </is>
      </c>
      <c r="E72" s="7">
        <f>INDEX(Úkoly!$D$5:$D$37,MATCH(A72,Úkoly!$A$5:$A$37,0))</f>
        <v/>
      </c>
      <c r="F72" s="10" t="inlineStr">
        <is>
          <t>Hotovo</t>
        </is>
      </c>
      <c r="G72" s="10" t="n"/>
    </row>
    <row r="73">
      <c r="A73" s="7" t="n">
        <v>13</v>
      </c>
      <c r="B73" s="14" t="n"/>
      <c r="C73" s="7" t="inlineStr">
        <is>
          <t>13.5</t>
        </is>
      </c>
      <c r="D73" s="7" t="inlineStr">
        <is>
          <t>Nakreslit v draw.io, doplnit include/extend a krátké scénáře klíčových use casů.</t>
        </is>
      </c>
      <c r="E73" s="7">
        <f>INDEX(Úkoly!$D$5:$D$37,MATCH(A73,Úkoly!$A$5:$A$37,0))</f>
        <v/>
      </c>
      <c r="F73" s="10" t="inlineStr">
        <is>
          <t>Hotovo</t>
        </is>
      </c>
      <c r="G73" s="10" t="n"/>
    </row>
    <row r="74">
      <c r="A74" s="7" t="n">
        <v>13</v>
      </c>
      <c r="B74" s="14" t="n"/>
      <c r="C74" s="7" t="inlineStr">
        <is>
          <t>13.6</t>
        </is>
      </c>
      <c r="D74" s="7" t="inlineStr">
        <is>
          <t>Zkontrolovat: ≥ 2 aktéři a každý ≥ 4 use casy.</t>
        </is>
      </c>
      <c r="E74" s="7">
        <f>INDEX(Úkoly!$D$5:$D$37,MATCH(A74,Úkoly!$A$5:$A$37,0))</f>
        <v/>
      </c>
      <c r="F74" s="10" t="inlineStr">
        <is>
          <t>Hotovo</t>
        </is>
      </c>
      <c r="G74" s="10" t="n"/>
    </row>
    <row r="75" ht="42.75" customHeight="1">
      <c r="A75" s="15" t="n">
        <v>14</v>
      </c>
      <c r="B75" s="16" t="inlineStr">
        <is>
          <t>Stavový diagram – životní cyklus alertu</t>
        </is>
      </c>
      <c r="C75" s="15" t="inlineStr">
        <is>
          <t>14.1</t>
        </is>
      </c>
      <c r="D75" s="15" t="inlineStr">
        <is>
          <t>Spouštěče alertu: průměr domácích měření nad 135/85 (nebo nad individuálním cílem); hodnota kolem 180/110 a víc (urgentní); tlak pod cca 90/60; pacient 3 dny neměřil; nepravidelný rytmus.</t>
        </is>
      </c>
      <c r="E75" s="15">
        <f>INDEX(Úkoly!$D$5:$D$37,MATCH(A75,Úkoly!$A$5:$A$37,0))</f>
        <v/>
      </c>
      <c r="F75" s="10" t="inlineStr">
        <is>
          <t>Hotovo</t>
        </is>
      </c>
      <c r="G75" s="10" t="n"/>
    </row>
    <row r="76">
      <c r="A76" s="15" t="n">
        <v>14</v>
      </c>
      <c r="B76" s="16" t="n"/>
      <c r="C76" s="15" t="inlineStr">
        <is>
          <t>14.2</t>
        </is>
      </c>
      <c r="D76" s="15" t="inlineStr">
        <is>
          <t>Stavy: Vytvořen, Odeslán lékaři, Zobrazen, Řeší se, Vyřešen, Eskalován.</t>
        </is>
      </c>
      <c r="E76" s="15">
        <f>INDEX(Úkoly!$D$5:$D$37,MATCH(A76,Úkoly!$A$5:$A$37,0))</f>
        <v/>
      </c>
      <c r="F76" s="10" t="inlineStr">
        <is>
          <t>Hotovo</t>
        </is>
      </c>
      <c r="G76" s="10" t="n"/>
    </row>
    <row r="77" ht="28.5" customHeight="1">
      <c r="A77" s="15" t="n">
        <v>14</v>
      </c>
      <c r="B77" s="16" t="n"/>
      <c r="C77" s="15" t="inlineStr">
        <is>
          <t>14.3</t>
        </is>
      </c>
      <c r="D77" s="15" t="inlineStr">
        <is>
          <t>Přechody: lékař otevře, potvrdí, uzavře; urgentní alert bez reakce do X hodin → eskalace.</t>
        </is>
      </c>
      <c r="E77" s="15">
        <f>INDEX(Úkoly!$D$5:$D$37,MATCH(A77,Úkoly!$A$5:$A$37,0))</f>
        <v/>
      </c>
      <c r="F77" s="10" t="inlineStr">
        <is>
          <t>Hotovo</t>
        </is>
      </c>
      <c r="G77" s="10" t="inlineStr">
        <is>
          <t>Eskalace 2 h</t>
        </is>
      </c>
    </row>
    <row r="78" ht="28.5" customHeight="1">
      <c r="A78" s="15" t="n">
        <v>14</v>
      </c>
      <c r="B78" s="16" t="n"/>
      <c r="C78" s="15" t="inlineStr">
        <is>
          <t>14.4</t>
        </is>
      </c>
      <c r="D78" s="15" t="inlineStr">
        <is>
          <t>Nakreslit v draw.io a napsat k diagramu odstavec popisu. Konkrétní limity ověřit v ESH 2023 a ocitovat.</t>
        </is>
      </c>
      <c r="E78" s="15">
        <f>INDEX(Úkoly!$D$5:$D$37,MATCH(A78,Úkoly!$A$5:$A$37,0))</f>
        <v/>
      </c>
      <c r="F78" s="10" t="inlineStr">
        <is>
          <t>Hotovo</t>
        </is>
      </c>
      <c r="G78" s="10" t="inlineStr">
        <is>
          <t>Citace v SD_alert_popis.docx</t>
        </is>
      </c>
    </row>
    <row r="79" ht="30" customHeight="1">
      <c r="A79" s="7" t="n">
        <v>15</v>
      </c>
      <c r="B79" s="14" t="inlineStr">
        <is>
          <t>Popis webového portálu, role a oprávnění</t>
        </is>
      </c>
      <c r="C79" s="7" t="inlineStr">
        <is>
          <t>15.1</t>
        </is>
      </c>
      <c r="D79" s="7" t="inlineStr">
        <is>
          <t>Popsat roli portálu a jeho komunikaci přes WEB API.</t>
        </is>
      </c>
      <c r="E79" s="7">
        <f>INDEX(Úkoly!$D$5:$D$37,MATCH(A79,Úkoly!$A$5:$A$37,0))</f>
        <v/>
      </c>
      <c r="F79" s="10" t="inlineStr">
        <is>
          <t>Hotovo</t>
        </is>
      </c>
      <c r="G79" s="10" t="n"/>
    </row>
    <row r="80" ht="42.75" customHeight="1">
      <c r="A80" s="7" t="n">
        <v>15</v>
      </c>
      <c r="B80" s="14" t="n"/>
      <c r="C80" s="7" t="inlineStr">
        <is>
          <t>15.2</t>
        </is>
      </c>
      <c r="D80" s="7" t="inlineStr">
        <is>
          <t>Matice oprávnění: role × akce (prohlížet / editovat / mazat / exportovat) – pacient prohlíží a zadává životosprávu, lékař prohlíží, edituje a nastavuje limity, admin spravuje.</t>
        </is>
      </c>
      <c r="E80" s="7">
        <f>INDEX(Úkoly!$D$5:$D$37,MATCH(A80,Úkoly!$A$5:$A$37,0))</f>
        <v/>
      </c>
      <c r="F80" s="10" t="inlineStr">
        <is>
          <t>Hotovo</t>
        </is>
      </c>
      <c r="G80" s="10" t="n"/>
    </row>
    <row r="81" ht="28.5" customHeight="1">
      <c r="A81" s="7" t="n">
        <v>15</v>
      </c>
      <c r="B81" s="14" t="n"/>
      <c r="C81" s="7" t="inlineStr">
        <is>
          <t>15.3</t>
        </is>
      </c>
      <c r="D81" s="7" t="inlineStr">
        <is>
          <t>Popsat hlavní moduly: přehled pacientů, detail s kombinovaným grafem (tlak, aktivita, sůl, energetické nápoje), alerty, doporučení, správa uživatelů.</t>
        </is>
      </c>
      <c r="E81" s="7">
        <f>INDEX(Úkoly!$D$5:$D$37,MATCH(A81,Úkoly!$A$5:$A$37,0))</f>
        <v/>
      </c>
      <c r="F81" s="10" t="inlineStr">
        <is>
          <t>Hotovo</t>
        </is>
      </c>
      <c r="G81" s="10" t="n"/>
    </row>
    <row r="82">
      <c r="A82" s="7" t="n">
        <v>15</v>
      </c>
      <c r="B82" s="14" t="n"/>
      <c r="C82" s="7" t="inlineStr">
        <is>
          <t>15.4</t>
        </is>
      </c>
      <c r="D82" s="7" t="inlineStr">
        <is>
          <t>Napsat text (cca 1 strana) a zkontrolovat soulad s use case diagramem.</t>
        </is>
      </c>
      <c r="E82" s="7">
        <f>INDEX(Úkoly!$D$5:$D$37,MATCH(A82,Úkoly!$A$5:$A$37,0))</f>
        <v/>
      </c>
      <c r="F82" s="10" t="inlineStr">
        <is>
          <t>Hotovo</t>
        </is>
      </c>
      <c r="G82" s="10" t="n"/>
    </row>
    <row r="83" ht="42.75" customHeight="1">
      <c r="A83" s="15" t="n">
        <v>16</v>
      </c>
      <c r="B83" s="16" t="inlineStr">
        <is>
          <t>Návrh GUI – webový portál</t>
        </is>
      </c>
      <c r="C83" s="15" t="inlineStr">
        <is>
          <t>16.1</t>
        </is>
      </c>
      <c r="D83" s="15" t="inlineStr">
        <is>
          <t>Obrazovky: přihlášení, dashboard lékaře (pacienti + alerty), detail pacienta s kombinovaným grafem tlak × životospráva, nastavení limitů, pohled pacienta, administrace.</t>
        </is>
      </c>
      <c r="E83" s="15">
        <f>INDEX(Úkoly!$D$5:$D$37,MATCH(A83,Úkoly!$A$5:$A$37,0))</f>
        <v/>
      </c>
      <c r="F83" s="10" t="inlineStr">
        <is>
          <t>Hotovo</t>
        </is>
      </c>
      <c r="G83" s="10" t="n"/>
    </row>
    <row r="84">
      <c r="A84" s="15" t="n">
        <v>16</v>
      </c>
      <c r="B84" s="16" t="n"/>
      <c r="C84" s="15" t="inlineStr">
        <is>
          <t>16.2</t>
        </is>
      </c>
      <c r="D84" s="15" t="inlineStr">
        <is>
          <t>Nakreslit wireframy a sjednotit vzhled s mobilní aplikací (barvy, ikony).</t>
        </is>
      </c>
      <c r="E84" s="15">
        <f>INDEX(Úkoly!$D$5:$D$37,MATCH(A84,Úkoly!$A$5:$A$37,0))</f>
        <v/>
      </c>
      <c r="F84" s="10" t="inlineStr">
        <is>
          <t>Rozpracováno</t>
        </is>
      </c>
      <c r="G84" s="10" t="inlineStr">
        <is>
          <t>Barvy převzaty od Maky; sladit indikátory hodnot</t>
        </is>
      </c>
    </row>
    <row r="85">
      <c r="A85" s="15" t="n">
        <v>16</v>
      </c>
      <c r="B85" s="16" t="n"/>
      <c r="C85" s="15" t="inlineStr">
        <is>
          <t>16.3</t>
        </is>
      </c>
      <c r="D85" s="15" t="inlineStr">
        <is>
          <t>Vybrané obrazovky dotáhnout do mockupu pro prezentaci.</t>
        </is>
      </c>
      <c r="E85" s="15">
        <f>INDEX(Úkoly!$D$5:$D$37,MATCH(A85,Úkoly!$A$5:$A$37,0))</f>
        <v/>
      </c>
      <c r="F85" s="10" t="inlineStr">
        <is>
          <t>Hotovo</t>
        </is>
      </c>
      <c r="G85" s="10" t="n"/>
    </row>
    <row r="86">
      <c r="A86" s="15" t="n">
        <v>16</v>
      </c>
      <c r="B86" s="16" t="n"/>
      <c r="C86" s="15" t="inlineStr">
        <is>
          <t>16.4</t>
        </is>
      </c>
      <c r="D86" s="15" t="inlineStr">
        <is>
          <t>Ke každé obrazovce napsat 1–2 věty popisu a vložit do dokumentu.</t>
        </is>
      </c>
      <c r="E86" s="15">
        <f>INDEX(Úkoly!$D$5:$D$37,MATCH(A86,Úkoly!$A$5:$A$37,0))</f>
        <v/>
      </c>
      <c r="F86" s="10" t="inlineStr">
        <is>
          <t>Hotovo</t>
        </is>
      </c>
      <c r="G86" s="10" t="n"/>
    </row>
    <row r="87" ht="30" customHeight="1">
      <c r="A87" s="7" t="n">
        <v>17</v>
      </c>
      <c r="B87" s="14" t="inlineStr">
        <is>
          <t>Kapitola Testování (postup, typy testů, testy při nasazení)</t>
        </is>
      </c>
      <c r="C87" s="7" t="inlineStr">
        <is>
          <t>17.1</t>
        </is>
      </c>
      <c r="D87" s="7" t="inlineStr">
        <is>
          <t>Popsat postup testování v rámci softwarového procesu (kdy se testuje, kdo, CI pipeline).</t>
        </is>
      </c>
      <c r="E87" s="7">
        <f>INDEX(Úkoly!$D$5:$D$37,MATCH(A87,Úkoly!$A$5:$A$37,0))</f>
        <v/>
      </c>
      <c r="F87" s="10" t="inlineStr">
        <is>
          <t>Hotovo</t>
        </is>
      </c>
      <c r="G87" s="10" t="n"/>
    </row>
    <row r="88" ht="28.5" customHeight="1">
      <c r="A88" s="7" t="n">
        <v>17</v>
      </c>
      <c r="B88" s="14" t="n"/>
      <c r="C88" s="7" t="inlineStr">
        <is>
          <t>17.2</t>
        </is>
      </c>
      <c r="D88" s="7" t="inlineStr">
        <is>
          <t>Popsat typy testů: jednotkové, integrační, systémové (end-to-end), akceptační, výkonnostní, bezpečnostní, testy použitelnosti.</t>
        </is>
      </c>
      <c r="E88" s="7">
        <f>INDEX(Úkoly!$D$5:$D$37,MATCH(A88,Úkoly!$A$5:$A$37,0))</f>
        <v/>
      </c>
      <c r="F88" s="10" t="inlineStr">
        <is>
          <t>Hotovo</t>
        </is>
      </c>
      <c r="G88" s="10" t="n"/>
    </row>
    <row r="89" ht="28.5" customHeight="1">
      <c r="A89" s="7" t="n">
        <v>17</v>
      </c>
      <c r="B89" s="14" t="n"/>
      <c r="C89" s="7" t="inlineStr">
        <is>
          <t>17.3</t>
        </is>
      </c>
      <c r="D89" s="7" t="inlineStr">
        <is>
          <t>Od každého vlastníka bloku získat 2–3 konkrétní testovací scénáře (aplikace, portál, API, integrátor).</t>
        </is>
      </c>
      <c r="E89" s="7">
        <f>INDEX(Úkoly!$D$5:$D$37,MATCH(A89,Úkoly!$A$5:$A$37,0))</f>
        <v/>
      </c>
      <c r="F89" s="10" t="inlineStr">
        <is>
          <t>Rozpracováno</t>
        </is>
      </c>
      <c r="G89" s="10" t="inlineStr">
        <is>
          <t>Scénáře převzaty z Maky/04 a Ema/Implementace §7; integrátor navržen – ověřit.</t>
        </is>
      </c>
    </row>
    <row r="90">
      <c r="A90" s="7" t="n">
        <v>17</v>
      </c>
      <c r="B90" s="14" t="n"/>
      <c r="C90" s="7" t="inlineStr">
        <is>
          <t>17.4</t>
        </is>
      </c>
      <c r="D90" s="7" t="inlineStr">
        <is>
          <t>Popsat testování integrace s NIS (testovací FHIR server, simulace výpadku NIS).</t>
        </is>
      </c>
      <c r="E90" s="7">
        <f>INDEX(Úkoly!$D$5:$D$37,MATCH(A90,Úkoly!$A$5:$A$37,0))</f>
        <v/>
      </c>
      <c r="F90" s="10" t="inlineStr">
        <is>
          <t>Hotovo</t>
        </is>
      </c>
      <c r="G90" s="10" t="n"/>
    </row>
    <row r="91">
      <c r="A91" s="7" t="n">
        <v>17</v>
      </c>
      <c r="B91" s="14" t="n"/>
      <c r="C91" s="7" t="inlineStr">
        <is>
          <t>17.5</t>
        </is>
      </c>
      <c r="D91" s="7" t="inlineStr">
        <is>
          <t>Popsat otestování při nasazení: smoke testy, kontrola konfigurace, zkušební provoz.</t>
        </is>
      </c>
      <c r="E91" s="7">
        <f>INDEX(Úkoly!$D$5:$D$37,MATCH(A91,Úkoly!$A$5:$A$37,0))</f>
        <v/>
      </c>
      <c r="F91" s="10" t="inlineStr">
        <is>
          <t>Hotovo</t>
        </is>
      </c>
      <c r="G91" s="10" t="n"/>
    </row>
    <row r="92">
      <c r="A92" s="7" t="n">
        <v>17</v>
      </c>
      <c r="B92" s="14" t="n"/>
      <c r="C92" s="7" t="inlineStr">
        <is>
          <t>17.6</t>
        </is>
      </c>
      <c r="D92" s="7" t="inlineStr">
        <is>
          <t>Napsat kapitolu (cca 1,5–2 strany), ideálně s tabulkou testovacích scénářů.</t>
        </is>
      </c>
      <c r="E92" s="7">
        <f>INDEX(Úkoly!$D$5:$D$37,MATCH(A92,Úkoly!$A$5:$A$37,0))</f>
        <v/>
      </c>
      <c r="F92" s="10" t="inlineStr">
        <is>
          <t>Hotovo</t>
        </is>
      </c>
      <c r="G92" s="10" t="n"/>
    </row>
    <row r="93" ht="28.5" customHeight="1">
      <c r="A93" s="15" t="n">
        <v>18</v>
      </c>
      <c r="B93" s="16" t="inlineStr">
        <is>
          <t>Use case diagram – WEB API</t>
        </is>
      </c>
      <c r="C93" s="15" t="inlineStr">
        <is>
          <t>18.1</t>
        </is>
      </c>
      <c r="D93" s="15" t="inlineStr">
        <is>
          <t>Určit aktéry API (min. 2): pacientská aplikace, webový portál (případně administrátor, autentizační služba).</t>
        </is>
      </c>
      <c r="E93" s="15">
        <f>INDEX(Úkoly!$D$5:$D$37,MATCH(A93,Úkoly!$A$5:$A$37,0))</f>
        <v/>
      </c>
      <c r="F93" s="10" t="inlineStr">
        <is>
          <t>Hotovo</t>
        </is>
      </c>
      <c r="G93" s="10" t="n"/>
    </row>
    <row r="94" ht="28.5" customHeight="1">
      <c r="A94" s="15" t="n">
        <v>18</v>
      </c>
      <c r="B94" s="16" t="n"/>
      <c r="C94" s="15" t="inlineStr">
        <is>
          <t>18.2</t>
        </is>
      </c>
      <c r="D94" s="15" t="inlineStr">
        <is>
          <t>Use casy (min. 4 na aktéra): autentizace, odeslání měření, čtení měření, editace záznamu, správa uživatelů, načtení alertů…</t>
        </is>
      </c>
      <c r="E94" s="15">
        <f>INDEX(Úkoly!$D$5:$D$37,MATCH(A94,Úkoly!$A$5:$A$37,0))</f>
        <v/>
      </c>
      <c r="F94" s="10" t="inlineStr">
        <is>
          <t>Hotovo</t>
        </is>
      </c>
      <c r="G94" s="10" t="n"/>
    </row>
    <row r="95" ht="28.5" customHeight="1">
      <c r="A95" s="15" t="n">
        <v>18</v>
      </c>
      <c r="B95" s="16" t="n"/>
      <c r="C95" s="15" t="inlineStr">
        <is>
          <t>18.3</t>
        </is>
      </c>
      <c r="D95" s="15" t="inlineStr">
        <is>
          <t>Nakreslit diagram, doplnit include/extend.</t>
        </is>
      </c>
      <c r="E95" s="15">
        <f>INDEX(Úkoly!$D$5:$D$37,MATCH(A95,Úkoly!$A$5:$A$37,0))</f>
        <v/>
      </c>
      <c r="F95" s="10" t="inlineStr">
        <is>
          <t>Hotovo</t>
        </is>
      </c>
      <c r="G95" s="10" t="n"/>
    </row>
    <row r="96" ht="28.5" customHeight="1">
      <c r="A96" s="15" t="n">
        <v>18</v>
      </c>
      <c r="B96" s="16" t="n"/>
      <c r="C96" s="15" t="inlineStr">
        <is>
          <t>18.4</t>
        </is>
      </c>
      <c r="D96" s="15" t="inlineStr">
        <is>
          <t>Zkontrolovat: ≥ 2 aktéři a každý ≥ 4 use casy.</t>
        </is>
      </c>
      <c r="E96" s="15">
        <f>INDEX(Úkoly!$D$5:$D$37,MATCH(A96,Úkoly!$A$5:$A$37,0))</f>
        <v/>
      </c>
      <c r="F96" s="10" t="inlineStr">
        <is>
          <t>Hotovo</t>
        </is>
      </c>
      <c r="G96" s="10" t="n"/>
    </row>
    <row r="97" ht="30" customHeight="1">
      <c r="A97" s="7" t="n">
        <v>19</v>
      </c>
      <c r="B97" s="14" t="inlineStr">
        <is>
          <t>Stavový diagram – zpracování záznamu / přihlášení</t>
        </is>
      </c>
      <c r="C97" s="7" t="inlineStr">
        <is>
          <t>19.1</t>
        </is>
      </c>
      <c r="D97" s="7" t="inlineStr">
        <is>
          <t>Vybrat variantu: zpracování přijatého záznamu, nebo životní cyklus přihlášení/tokenu.</t>
        </is>
      </c>
      <c r="E97" s="7">
        <f>INDEX(Úkoly!$D$5:$D$37,MATCH(A97,Úkoly!$A$5:$A$37,0))</f>
        <v/>
      </c>
      <c r="F97" s="10" t="inlineStr">
        <is>
          <t>Hotovo</t>
        </is>
      </c>
      <c r="G97" s="10" t="n"/>
    </row>
    <row r="98" ht="28.5" customHeight="1">
      <c r="A98" s="7" t="n">
        <v>19</v>
      </c>
      <c r="B98" s="14" t="n"/>
      <c r="C98" s="7" t="inlineStr">
        <is>
          <t>19.2</t>
        </is>
      </c>
      <c r="D98" s="7" t="inlineStr">
        <is>
          <t>Definovat stavy (např. Přijato, Validace, Uloženo, Vyhodnocení limitů, Chyba / nebo Nepřihlášen, Přihlášen, Token vypršel, Obnoven, Odhlášen).</t>
        </is>
      </c>
      <c r="E98" s="7">
        <f>INDEX(Úkoly!$D$5:$D$37,MATCH(A98,Úkoly!$A$5:$A$37,0))</f>
        <v/>
      </c>
      <c r="F98" s="10" t="inlineStr">
        <is>
          <t>Hotovo</t>
        </is>
      </c>
      <c r="G98" s="10" t="n"/>
    </row>
    <row r="99" ht="28.5" customHeight="1">
      <c r="A99" s="7" t="n">
        <v>19</v>
      </c>
      <c r="B99" s="14" t="n"/>
      <c r="C99" s="7" t="inlineStr">
        <is>
          <t>19.3</t>
        </is>
      </c>
      <c r="D99" s="7" t="inlineStr">
        <is>
          <t>Doplnit přechody a podmínky.</t>
        </is>
      </c>
      <c r="E99" s="7">
        <f>INDEX(Úkoly!$D$5:$D$37,MATCH(A99,Úkoly!$A$5:$A$37,0))</f>
        <v/>
      </c>
      <c r="F99" s="10" t="inlineStr">
        <is>
          <t>Hotovo</t>
        </is>
      </c>
      <c r="G99" s="10" t="n"/>
    </row>
    <row r="100" ht="28.5" customHeight="1">
      <c r="A100" s="7" t="n">
        <v>19</v>
      </c>
      <c r="B100" s="14" t="n"/>
      <c r="C100" s="7" t="inlineStr">
        <is>
          <t>19.4</t>
        </is>
      </c>
      <c r="D100" s="7" t="inlineStr">
        <is>
          <t>Nakreslit diagram a napsat k němu odstavec popisu.</t>
        </is>
      </c>
      <c r="E100" s="7">
        <f>INDEX(Úkoly!$D$5:$D$37,MATCH(A100,Úkoly!$A$5:$A$37,0))</f>
        <v/>
      </c>
      <c r="F100" s="10" t="inlineStr">
        <is>
          <t>Rozpracováno</t>
        </is>
      </c>
      <c r="G100" s="10" t="inlineStr">
        <is>
          <t>Chybí počáteční stav.</t>
        </is>
      </c>
    </row>
    <row r="101" ht="30" customHeight="1">
      <c r="A101" s="15" t="n">
        <v>20</v>
      </c>
      <c r="B101" s="16" t="inlineStr">
        <is>
          <t>Návrh databáze – ER diagram (min. 6 tabulek × 4 sloupce)</t>
        </is>
      </c>
      <c r="C101" s="15" t="inlineStr">
        <is>
          <t>20.1</t>
        </is>
      </c>
      <c r="D101" s="15" t="inlineStr">
        <is>
          <t>Sesbírat od ostatních požadavky na data (aplikace, portál, integrátor).</t>
        </is>
      </c>
      <c r="E101" s="15">
        <f>INDEX(Úkoly!$D$5:$D$37,MATCH(A101,Úkoly!$A$5:$A$37,0))</f>
        <v/>
      </c>
      <c r="F101" s="10" t="inlineStr">
        <is>
          <t>Hotovo</t>
        </is>
      </c>
      <c r="G101" s="10" t="n"/>
    </row>
    <row r="102" ht="42.75" customHeight="1">
      <c r="A102" s="15" t="n">
        <v>20</v>
      </c>
      <c r="B102" s="16" t="n"/>
      <c r="C102" s="15" t="inlineStr">
        <is>
          <t>20.2</t>
        </is>
      </c>
      <c r="D102" s="15" t="inlineStr">
        <is>
          <t>Navrhnout tabulky (min. 6): Uzivatel, Role, Pacient, Lekar, Zarizeni (tlakoměr), MereniTlaku, Aktivita, ZaznamZivotospravy, LimitAlertu, Alert, Doporuceni, SynchronizaceNIS.</t>
        </is>
      </c>
      <c r="E102" s="15">
        <f>INDEX(Úkoly!$D$5:$D$37,MATCH(A102,Úkoly!$A$5:$A$37,0))</f>
        <v/>
      </c>
      <c r="F102" s="10" t="inlineStr">
        <is>
          <t>Hotovo</t>
        </is>
      </c>
      <c r="G102" s="10" t="n"/>
    </row>
    <row r="103" ht="28.5" customHeight="1">
      <c r="A103" s="15" t="n">
        <v>20</v>
      </c>
      <c r="B103" s="16" t="n"/>
      <c r="C103" s="15" t="inlineStr">
        <is>
          <t>20.3</t>
        </is>
      </c>
      <c r="D103" s="15" t="inlineStr">
        <is>
          <t>MereniTlaku: id, pacient_id, zarizeni_id, systolicky, diastolicky, puls, nepravidelny_rytmus, cas_mereni, zdroj (BLE/ručně), synchronizovano_nis.</t>
        </is>
      </c>
      <c r="E103" s="15">
        <f>INDEX(Úkoly!$D$5:$D$37,MATCH(A103,Úkoly!$A$5:$A$37,0))</f>
        <v/>
      </c>
      <c r="F103" s="10" t="inlineStr">
        <is>
          <t>Hotovo</t>
        </is>
      </c>
      <c r="G103" s="10" t="n"/>
    </row>
    <row r="104" ht="28.5" customHeight="1">
      <c r="A104" s="15" t="n">
        <v>20</v>
      </c>
      <c r="B104" s="16" t="n"/>
      <c r="C104" s="15" t="inlineStr">
        <is>
          <t>20.4</t>
        </is>
      </c>
      <c r="D104" s="15" t="inlineStr">
        <is>
          <t>ZaznamZivotospravy: id, pacient_id, typ (energeticky_napoj / kava / slane_jidlo), mnozstvi (kusy nebo málo/středně/hodně), cas_zaznamu, poznamka.</t>
        </is>
      </c>
      <c r="E104" s="15">
        <f>INDEX(Úkoly!$D$5:$D$37,MATCH(A104,Úkoly!$A$5:$A$37,0))</f>
        <v/>
      </c>
      <c r="F104" s="10" t="inlineStr">
        <is>
          <t>Hotovo</t>
        </is>
      </c>
      <c r="G104" s="10" t="n"/>
    </row>
    <row r="105" ht="28.5" customHeight="1">
      <c r="A105" s="15" t="n">
        <v>20</v>
      </c>
      <c r="B105" s="16" t="n"/>
      <c r="C105" s="15" t="inlineStr">
        <is>
          <t>20.5</t>
        </is>
      </c>
      <c r="D105" s="15" t="inlineStr">
        <is>
          <t>Každé tabulce dát min. 4 sloupce s datovými typy, primární a cizí klíče; určit vztahy a kardinality.</t>
        </is>
      </c>
      <c r="E105" s="15">
        <f>INDEX(Úkoly!$D$5:$D$37,MATCH(A105,Úkoly!$A$5:$A$37,0))</f>
        <v/>
      </c>
      <c r="F105" s="10" t="inlineStr">
        <is>
          <t>Rozpracováno</t>
        </is>
      </c>
      <c r="G105" s="10" t="inlineStr">
        <is>
          <t>Chybí datové typy.</t>
        </is>
      </c>
    </row>
    <row r="106" ht="28.5" customHeight="1">
      <c r="A106" s="15" t="n">
        <v>20</v>
      </c>
      <c r="B106" s="16" t="n"/>
      <c r="C106" s="15" t="inlineStr">
        <is>
          <t>20.6</t>
        </is>
      </c>
      <c r="D106" s="15" t="inlineStr">
        <is>
          <t>Nakreslit ER diagram v draw.io a nechat ho zkontrolovat všem vlastníkům bloků.</t>
        </is>
      </c>
      <c r="E106" s="15">
        <f>INDEX(Úkoly!$D$5:$D$37,MATCH(A106,Úkoly!$A$5:$A$37,0))</f>
        <v/>
      </c>
      <c r="F106" s="10" t="inlineStr">
        <is>
          <t>Rozpracováno</t>
        </is>
      </c>
      <c r="G106" s="10" t="n"/>
    </row>
    <row r="107" ht="28.5" customHeight="1">
      <c r="A107" s="15" t="n">
        <v>20</v>
      </c>
      <c r="B107" s="16" t="n"/>
      <c r="C107" s="15" t="inlineStr">
        <is>
          <t>20.7</t>
        </is>
      </c>
      <c r="D107" s="15" t="inlineStr">
        <is>
          <t>Ke každé tabulce napsat krátký popis.</t>
        </is>
      </c>
      <c r="E107" s="15">
        <f>INDEX(Úkoly!$D$5:$D$37,MATCH(A107,Úkoly!$A$5:$A$37,0))</f>
        <v/>
      </c>
      <c r="F107" s="10" t="inlineStr">
        <is>
          <t>Rozpracováno</t>
        </is>
      </c>
      <c r="G107" s="10" t="n"/>
    </row>
    <row r="108" ht="28.5" customHeight="1">
      <c r="A108" s="15" t="n">
        <v>20</v>
      </c>
      <c r="B108" s="16" t="n"/>
      <c r="C108" s="15" t="inlineStr">
        <is>
          <t>20.8</t>
        </is>
      </c>
      <c r="D108" s="15" t="inlineStr">
        <is>
          <t>Zkontrolovat: ≥ 6 tabulek a každá ≥ 4 sloupce.</t>
        </is>
      </c>
      <c r="E108" s="15">
        <f>INDEX(Úkoly!$D$5:$D$37,MATCH(A108,Úkoly!$A$5:$A$37,0))</f>
        <v/>
      </c>
      <c r="F108" s="10" t="inlineStr">
        <is>
          <t>Hotovo</t>
        </is>
      </c>
      <c r="G108" s="10" t="n"/>
    </row>
    <row r="109" ht="28.5" customHeight="1">
      <c r="A109" s="7" t="n">
        <v>21</v>
      </c>
      <c r="B109" s="14" t="inlineStr">
        <is>
          <t>Popis WEB API a databáze</t>
        </is>
      </c>
      <c r="C109" s="7" t="inlineStr">
        <is>
          <t>21.1</t>
        </is>
      </c>
      <c r="D109" s="7" t="inlineStr">
        <is>
          <t>Popsat roli WEB API: jediný vstup klientů do DB, validace, autorizace.</t>
        </is>
      </c>
      <c r="E109" s="7">
        <f>INDEX(Úkoly!$D$5:$D$37,MATCH(A109,Úkoly!$A$5:$A$37,0))</f>
        <v/>
      </c>
      <c r="F109" s="10" t="inlineStr">
        <is>
          <t>Hotovo</t>
        </is>
      </c>
      <c r="G109" s="10" t="n"/>
    </row>
    <row r="110" ht="28.5" customHeight="1">
      <c r="A110" s="7" t="n">
        <v>21</v>
      </c>
      <c r="B110" s="14" t="n"/>
      <c r="C110" s="7" t="inlineStr">
        <is>
          <t>21.2</t>
        </is>
      </c>
      <c r="D110" s="7" t="inlineStr">
        <is>
          <t>Vložit tabulku hlavních endpointů (metoda, cesta, popis, kdo volá) podle dohody rozhraní.</t>
        </is>
      </c>
      <c r="E110" s="7">
        <f>INDEX(Úkoly!$D$5:$D$37,MATCH(A110,Úkoly!$A$5:$A$37,0))</f>
        <v/>
      </c>
      <c r="F110" s="10" t="inlineStr">
        <is>
          <t>Hotovo</t>
        </is>
      </c>
      <c r="G110" s="10" t="n"/>
    </row>
    <row r="111" ht="28.5" customHeight="1">
      <c r="A111" s="7" t="n">
        <v>21</v>
      </c>
      <c r="B111" s="14" t="n"/>
      <c r="C111" s="7" t="inlineStr">
        <is>
          <t>21.3</t>
        </is>
      </c>
      <c r="D111" s="7" t="inlineStr">
        <is>
          <t>Popsat zpracování dat: validace, uložení, vyhodnocení limitů a vytvoření alertu.</t>
        </is>
      </c>
      <c r="E111" s="7">
        <f>INDEX(Úkoly!$D$5:$D$37,MATCH(A111,Úkoly!$A$5:$A$37,0))</f>
        <v/>
      </c>
      <c r="F111" s="10" t="inlineStr">
        <is>
          <t>Hotovo</t>
        </is>
      </c>
      <c r="G111" s="10" t="n"/>
    </row>
    <row r="112" ht="28.5" customHeight="1">
      <c r="A112" s="7" t="n">
        <v>21</v>
      </c>
      <c r="B112" s="14" t="n"/>
      <c r="C112" s="7" t="inlineStr">
        <is>
          <t>21.4</t>
        </is>
      </c>
      <c r="D112" s="7" t="inlineStr">
        <is>
          <t>Popsat databázi obecně (relační, zálohování, šifrování citlivých dat).</t>
        </is>
      </c>
      <c r="E112" s="7">
        <f>INDEX(Úkoly!$D$5:$D$37,MATCH(A112,Úkoly!$A$5:$A$37,0))</f>
        <v/>
      </c>
      <c r="F112" s="10" t="inlineStr">
        <is>
          <t>Hotovo</t>
        </is>
      </c>
      <c r="G112" s="10" t="n"/>
    </row>
    <row r="113" ht="28.5" customHeight="1">
      <c r="A113" s="7" t="n">
        <v>21</v>
      </c>
      <c r="B113" s="14" t="n"/>
      <c r="C113" s="7" t="inlineStr">
        <is>
          <t>21.5</t>
        </is>
      </c>
      <c r="D113" s="7" t="inlineStr">
        <is>
          <t>Napsat text (cca 1,5 strany).</t>
        </is>
      </c>
      <c r="E113" s="7">
        <f>INDEX(Úkoly!$D$5:$D$37,MATCH(A113,Úkoly!$A$5:$A$37,0))</f>
        <v/>
      </c>
      <c r="F113" s="10" t="inlineStr">
        <is>
          <t>Rozpracováno</t>
        </is>
      </c>
      <c r="G113" s="10" t="n"/>
    </row>
    <row r="114" ht="45" customHeight="1">
      <c r="A114" s="15" t="n">
        <v>22</v>
      </c>
      <c r="B114" s="16" t="inlineStr">
        <is>
          <t>Kapitola Implementace (technologie, proces, VCS, build server)</t>
        </is>
      </c>
      <c r="C114" s="15" t="inlineStr">
        <is>
          <t>22.1</t>
        </is>
      </c>
      <c r="D114" s="15" t="inlineStr">
        <is>
          <t>Sepsat výčet technologií po blocích (mobilní aplikace, portál, API, DB, integrátor) s krátkým zdůvodněním výběru.</t>
        </is>
      </c>
      <c r="E114" s="15">
        <f>INDEX(Úkoly!$D$5:$D$37,MATCH(A114,Úkoly!$A$5:$A$37,0))</f>
        <v/>
      </c>
      <c r="F114" s="10" t="inlineStr">
        <is>
          <t>Rozpracováno</t>
        </is>
      </c>
      <c r="G114" s="10" t="inlineStr">
        <is>
          <t>Chybí technologie portálu.</t>
        </is>
      </c>
    </row>
    <row r="115" ht="28.5" customHeight="1">
      <c r="A115" s="15" t="n">
        <v>22</v>
      </c>
      <c r="B115" s="16" t="n"/>
      <c r="C115" s="15" t="inlineStr">
        <is>
          <t>22.2</t>
        </is>
      </c>
      <c r="D115" s="15" t="inlineStr">
        <is>
          <t>Popsat softwarový proces (např. Scrum: sprinty, role, ceremonie) a proč se hodí.</t>
        </is>
      </c>
      <c r="E115" s="15">
        <f>INDEX(Úkoly!$D$5:$D$37,MATCH(A115,Úkoly!$A$5:$A$37,0))</f>
        <v/>
      </c>
      <c r="F115" s="10" t="inlineStr">
        <is>
          <t>Hotovo</t>
        </is>
      </c>
      <c r="G115" s="10" t="n"/>
    </row>
    <row r="116" ht="28.5" customHeight="1">
      <c r="A116" s="15" t="n">
        <v>22</v>
      </c>
      <c r="B116" s="16" t="n"/>
      <c r="C116" s="15" t="inlineStr">
        <is>
          <t>22.3</t>
        </is>
      </c>
      <c r="D116" s="15" t="inlineStr">
        <is>
          <t>Vybrat verzovací systém (např. Git + GitHub/GitLab) a branching strategii.</t>
        </is>
      </c>
      <c r="E116" s="15">
        <f>INDEX(Úkoly!$D$5:$D$37,MATCH(A116,Úkoly!$A$5:$A$37,0))</f>
        <v/>
      </c>
      <c r="F116" s="10" t="inlineStr">
        <is>
          <t>Rozpracováno</t>
        </is>
      </c>
      <c r="G116" s="10" t="inlineStr">
        <is>
          <t>Praxe ≠ popis (větve/PR).</t>
        </is>
      </c>
    </row>
    <row r="117" ht="28.5" customHeight="1">
      <c r="A117" s="15" t="n">
        <v>22</v>
      </c>
      <c r="B117" s="16" t="n"/>
      <c r="C117" s="15" t="inlineStr">
        <is>
          <t>22.4</t>
        </is>
      </c>
      <c r="D117" s="15" t="inlineStr">
        <is>
          <t>Vybrat build server / CI-CD (např. GitHub Actions, GitLab CI, Jenkins) s ohledem na technologie, popsat pipeline.</t>
        </is>
      </c>
      <c r="E117" s="15">
        <f>INDEX(Úkoly!$D$5:$D$37,MATCH(A117,Úkoly!$A$5:$A$37,0))</f>
        <v/>
      </c>
      <c r="F117" s="10" t="inlineStr">
        <is>
          <t>Hotovo</t>
        </is>
      </c>
      <c r="G117" s="10" t="n"/>
    </row>
    <row r="118" ht="28.5" customHeight="1">
      <c r="A118" s="15" t="n">
        <v>22</v>
      </c>
      <c r="B118" s="16" t="n"/>
      <c r="C118" s="15" t="inlineStr">
        <is>
          <t>22.5</t>
        </is>
      </c>
      <c r="D118" s="15" t="inlineStr">
        <is>
          <t>Ověřit s ostatními, že technologie odpovídají jejich blokům.</t>
        </is>
      </c>
      <c r="E118" s="15">
        <f>INDEX(Úkoly!$D$5:$D$37,MATCH(A118,Úkoly!$A$5:$A$37,0))</f>
        <v/>
      </c>
      <c r="F118" s="10" t="inlineStr">
        <is>
          <t>Rozpracováno</t>
        </is>
      </c>
      <c r="G118" s="10" t="n"/>
    </row>
    <row r="119" ht="28.5" customHeight="1">
      <c r="A119" s="15" t="n">
        <v>22</v>
      </c>
      <c r="B119" s="16" t="n"/>
      <c r="C119" s="15" t="inlineStr">
        <is>
          <t>22.6</t>
        </is>
      </c>
      <c r="D119" s="15" t="inlineStr">
        <is>
          <t>Napsat kapitolu (cca 1,5–2 strany).</t>
        </is>
      </c>
      <c r="E119" s="15">
        <f>INDEX(Úkoly!$D$5:$D$37,MATCH(A119,Úkoly!$A$5:$A$37,0))</f>
        <v/>
      </c>
      <c r="F119" s="10" t="inlineStr">
        <is>
          <t>Hotovo</t>
        </is>
      </c>
      <c r="G119" s="10" t="n"/>
    </row>
    <row r="120" ht="28.5" customHeight="1">
      <c r="A120" s="7" t="n">
        <v>23</v>
      </c>
      <c r="B120" s="14" t="inlineStr">
        <is>
          <t>Use case diagram – integrátor</t>
        </is>
      </c>
      <c r="C120" s="7" t="inlineStr">
        <is>
          <t>23.1</t>
        </is>
      </c>
      <c r="D120" s="7" t="inlineStr">
        <is>
          <t>Určit aktéry (min. 2): administrátor, NIS (případně časovač/plánovač, mailový server).</t>
        </is>
      </c>
      <c r="E120" s="7">
        <f>INDEX(Úkoly!$D$5:$D$37,MATCH(A120,Úkoly!$A$5:$A$37,0))</f>
        <v/>
      </c>
      <c r="F120" s="10" t="inlineStr">
        <is>
          <t>Nezahájeno</t>
        </is>
      </c>
      <c r="G120" s="10" t="n"/>
    </row>
    <row r="121" ht="42.75" customHeight="1">
      <c r="A121" s="7" t="n">
        <v>23</v>
      </c>
      <c r="B121" s="14" t="n"/>
      <c r="C121" s="7" t="inlineStr">
        <is>
          <t>23.2</t>
        </is>
      </c>
      <c r="D121" s="7" t="inlineStr">
        <is>
          <t>Use casy (min. 4 na aktéra): nastavení periody synchronizace, nastavení notifikací, ruční spuštění synchronizace, prohlížení logu synchronizace; NIS: příjem dat pacienta, potvrzení přijetí, odeslání chyby…</t>
        </is>
      </c>
      <c r="E121" s="7">
        <f>INDEX(Úkoly!$D$5:$D$37,MATCH(A121,Úkoly!$A$5:$A$37,0))</f>
        <v/>
      </c>
      <c r="F121" s="10" t="inlineStr">
        <is>
          <t>Nezahájeno</t>
        </is>
      </c>
      <c r="G121" s="10" t="n"/>
    </row>
    <row r="122">
      <c r="A122" s="7" t="n">
        <v>23</v>
      </c>
      <c r="B122" s="14" t="n"/>
      <c r="C122" s="7" t="inlineStr">
        <is>
          <t>23.3</t>
        </is>
      </c>
      <c r="D122" s="7" t="inlineStr">
        <is>
          <t>Nakreslit diagram, doplnit include/extend.</t>
        </is>
      </c>
      <c r="E122" s="7">
        <f>INDEX(Úkoly!$D$5:$D$37,MATCH(A122,Úkoly!$A$5:$A$37,0))</f>
        <v/>
      </c>
      <c r="F122" s="10" t="inlineStr">
        <is>
          <t>Nezahájeno</t>
        </is>
      </c>
      <c r="G122" s="10" t="n"/>
    </row>
    <row r="123">
      <c r="A123" s="7" t="n">
        <v>23</v>
      </c>
      <c r="B123" s="14" t="n"/>
      <c r="C123" s="7" t="inlineStr">
        <is>
          <t>23.4</t>
        </is>
      </c>
      <c r="D123" s="7" t="inlineStr">
        <is>
          <t>Zkontrolovat: ≥ 2 aktéři a každý ≥ 4 use casy.</t>
        </is>
      </c>
      <c r="E123" s="7">
        <f>INDEX(Úkoly!$D$5:$D$37,MATCH(A123,Úkoly!$A$5:$A$37,0))</f>
        <v/>
      </c>
      <c r="F123" s="10" t="inlineStr">
        <is>
          <t>Nezahájeno</t>
        </is>
      </c>
      <c r="G123" s="10" t="n"/>
    </row>
    <row r="124" ht="30" customHeight="1">
      <c r="A124" s="15" t="n">
        <v>24</v>
      </c>
      <c r="B124" s="16" t="inlineStr">
        <is>
          <t>Stavový diagram – synchronizace s NIS</t>
        </is>
      </c>
      <c r="C124" s="15" t="inlineStr">
        <is>
          <t>24.1</t>
        </is>
      </c>
      <c r="D124" s="15" t="inlineStr">
        <is>
          <t>Definovat stavy: Nečinný, Čeká na periodu, Synchronizuje, Úspěch, Chyba spojení, Opakování, NIS dlouhodobě nedostupný (odeslána notifikace).</t>
        </is>
      </c>
      <c r="E124" s="15">
        <f>INDEX(Úkoly!$D$5:$D$37,MATCH(A124,Úkoly!$A$5:$A$37,0))</f>
        <v/>
      </c>
      <c r="F124" s="10" t="inlineStr">
        <is>
          <t>Nezahájeno</t>
        </is>
      </c>
      <c r="G124" s="10" t="n"/>
    </row>
    <row r="125" ht="28.5" customHeight="1">
      <c r="A125" s="15" t="n">
        <v>24</v>
      </c>
      <c r="B125" s="16" t="n"/>
      <c r="C125" s="15" t="inlineStr">
        <is>
          <t>24.2</t>
        </is>
      </c>
      <c r="D125" s="15" t="inlineStr">
        <is>
          <t>Definovat přechody (spuštění periodou, chyba, překročení počtu opakování, obnovení spojení).</t>
        </is>
      </c>
      <c r="E125" s="15">
        <f>INDEX(Úkoly!$D$5:$D$37,MATCH(A125,Úkoly!$A$5:$A$37,0))</f>
        <v/>
      </c>
      <c r="F125" s="10" t="inlineStr">
        <is>
          <t>Nezahájeno</t>
        </is>
      </c>
      <c r="G125" s="10" t="n"/>
    </row>
    <row r="126">
      <c r="A126" s="15" t="n">
        <v>24</v>
      </c>
      <c r="B126" s="16" t="n"/>
      <c r="C126" s="15" t="inlineStr">
        <is>
          <t>24.3</t>
        </is>
      </c>
      <c r="D126" s="15" t="inlineStr">
        <is>
          <t>Nakreslit diagram a napsat k němu odstavec popisu.</t>
        </is>
      </c>
      <c r="E126" s="15">
        <f>INDEX(Úkoly!$D$5:$D$37,MATCH(A126,Úkoly!$A$5:$A$37,0))</f>
        <v/>
      </c>
      <c r="F126" s="10" t="inlineStr">
        <is>
          <t>Nezahájeno</t>
        </is>
      </c>
      <c r="G126" s="10" t="n"/>
    </row>
    <row r="127" ht="30" customHeight="1">
      <c r="A127" s="7" t="n">
        <v>25</v>
      </c>
      <c r="B127" s="14" t="inlineStr">
        <is>
          <t>Popis integrátoru a mapování na FHIR zdroje</t>
        </is>
      </c>
      <c r="C127" s="7" t="inlineStr">
        <is>
          <t>25.1</t>
        </is>
      </c>
      <c r="D127" s="7" t="inlineStr">
        <is>
          <t>Nastudovat základy HL7 FHIR (resources, REST API, bundles). Výchozí verze R4 – ověřit s vyučujícími.</t>
        </is>
      </c>
      <c r="E127" s="7">
        <f>INDEX(Úkoly!$D$5:$D$37,MATCH(A127,Úkoly!$A$5:$A$37,0))</f>
        <v/>
      </c>
      <c r="F127" s="10" t="inlineStr">
        <is>
          <t>Nezahájeno</t>
        </is>
      </c>
      <c r="G127" s="10" t="n"/>
    </row>
    <row r="128" ht="42.75" customHeight="1">
      <c r="A128" s="7" t="n">
        <v>25</v>
      </c>
      <c r="B128" s="14" t="n"/>
      <c r="C128" s="7" t="inlineStr">
        <is>
          <t>25.2</t>
        </is>
      </c>
      <c r="D128" s="7" t="inlineStr">
        <is>
          <t>Mapování: Patient, Practitioner, Device (tlakoměr), Observation – krevní tlak jako panel (LOINC 85354-9) se složkami systolický (8480-6) a diastolický (8462-4); puls (8867-4); kroky/aktivita (kód dohledat a ověřit).</t>
        </is>
      </c>
      <c r="E128" s="7">
        <f>INDEX(Úkoly!$D$5:$D$37,MATCH(A128,Úkoly!$A$5:$A$37,0))</f>
        <v/>
      </c>
      <c r="F128" s="10" t="inlineStr">
        <is>
          <t>Nezahájeno</t>
        </is>
      </c>
      <c r="G128" s="10" t="n"/>
    </row>
    <row r="129" ht="42.75" customHeight="1">
      <c r="A129" s="7" t="n">
        <v>25</v>
      </c>
      <c r="B129" s="14" t="n"/>
      <c r="C129" s="7" t="inlineStr">
        <is>
          <t>25.3</t>
        </is>
      </c>
      <c r="D129" s="7" t="inlineStr">
        <is>
          <t>Životospráva: rozhodnout, zda posílat do NIS – výchozí návrh = týdenní souhrn jako Observation s kategorií social-history (počet energetických nápojů, dny se slaným jídlem). Ověřit s vyučujícími.</t>
        </is>
      </c>
      <c r="E129" s="7">
        <f>INDEX(Úkoly!$D$5:$D$37,MATCH(A129,Úkoly!$A$5:$A$37,0))</f>
        <v/>
      </c>
      <c r="F129" s="10" t="inlineStr">
        <is>
          <t>Nezahájeno</t>
        </is>
      </c>
      <c r="G129" s="10" t="n"/>
    </row>
    <row r="130" ht="28.5" customHeight="1">
      <c r="A130" s="7" t="n">
        <v>25</v>
      </c>
      <c r="B130" s="14" t="n"/>
      <c r="C130" s="7" t="inlineStr">
        <is>
          <t>25.4</t>
        </is>
      </c>
      <c r="D130" s="7" t="inlineStr">
        <is>
          <t>Směr komunikace: výchozí = odesílání do NIS; volitelně načítání základních údajů pacienta z NIS.</t>
        </is>
      </c>
      <c r="E130" s="7">
        <f>INDEX(Úkoly!$D$5:$D$37,MATCH(A130,Úkoly!$A$5:$A$37,0))</f>
        <v/>
      </c>
      <c r="F130" s="10" t="inlineStr">
        <is>
          <t>Nezahájeno</t>
        </is>
      </c>
      <c r="G130" s="10" t="n"/>
    </row>
    <row r="131" ht="28.5" customHeight="1">
      <c r="A131" s="7" t="n">
        <v>25</v>
      </c>
      <c r="B131" s="14" t="n"/>
      <c r="C131" s="7" t="inlineStr">
        <is>
          <t>25.5</t>
        </is>
      </c>
      <c r="D131" s="7" t="inlineStr">
        <is>
          <t>Popsat průběh synchronizace a nastavení periody a mailových notifikací při výpadku NIS.</t>
        </is>
      </c>
      <c r="E131" s="7">
        <f>INDEX(Úkoly!$D$5:$D$37,MATCH(A131,Úkoly!$A$5:$A$37,0))</f>
        <v/>
      </c>
      <c r="F131" s="10" t="inlineStr">
        <is>
          <t>Nezahájeno</t>
        </is>
      </c>
      <c r="G131" s="10" t="n"/>
    </row>
    <row r="132" ht="28.5" customHeight="1">
      <c r="A132" s="7" t="n">
        <v>25</v>
      </c>
      <c r="B132" s="14" t="n"/>
      <c r="C132" s="7" t="inlineStr">
        <is>
          <t>25.6</t>
        </is>
      </c>
      <c r="D132" s="7" t="inlineStr">
        <is>
          <t>Napsat text (cca 1,5 strany) včetně mapovací tabulky; případně ukázka FHIR zprávy (JSON).</t>
        </is>
      </c>
      <c r="E132" s="7">
        <f>INDEX(Úkoly!$D$5:$D$37,MATCH(A132,Úkoly!$A$5:$A$37,0))</f>
        <v/>
      </c>
      <c r="F132" s="10" t="inlineStr">
        <is>
          <t>Nezahájeno</t>
        </is>
      </c>
      <c r="G132" s="10" t="n"/>
    </row>
    <row r="133" ht="30" customHeight="1">
      <c r="A133" s="15" t="n">
        <v>26</v>
      </c>
      <c r="B133" s="16" t="inlineStr">
        <is>
          <t>Kapitola Úvod (problém, problematika, současná řešení)</t>
        </is>
      </c>
      <c r="C133" s="15" t="inlineStr">
        <is>
          <t>26.1</t>
        </is>
      </c>
      <c r="D133" s="15" t="inlineStr">
        <is>
          <t>Řešený problém: hypertenze u mladých dospělých – často nediagnostikovaná nebo podceňovaná, souvisí se životním stylem. Čísla dohledat a ocitovat.</t>
        </is>
      </c>
      <c r="E133" s="15">
        <f>INDEX(Úkoly!$D$5:$D$37,MATCH(A133,Úkoly!$A$5:$A$37,0))</f>
        <v/>
      </c>
      <c r="F133" s="10" t="inlineStr">
        <is>
          <t>Nezahájeno</t>
        </is>
      </c>
      <c r="G133" s="10" t="n"/>
    </row>
    <row r="134" ht="28.5" customHeight="1">
      <c r="A134" s="15" t="n">
        <v>26</v>
      </c>
      <c r="B134" s="16" t="n"/>
      <c r="C134" s="15" t="inlineStr">
        <is>
          <t>26.2</t>
        </is>
      </c>
      <c r="D134" s="15" t="inlineStr">
        <is>
          <t>Vliv soli na tlak a krátkodobý vliv energetických nápojů (kofein) – dohledat studie a doporučení (ESH 2023, WHO doporučení pro příjem soli).</t>
        </is>
      </c>
      <c r="E134" s="15">
        <f>INDEX(Úkoly!$D$5:$D$37,MATCH(A134,Úkoly!$A$5:$A$37,0))</f>
        <v/>
      </c>
      <c r="F134" s="10" t="inlineStr">
        <is>
          <t>Nezahájeno</t>
        </is>
      </c>
      <c r="G134" s="10" t="n"/>
    </row>
    <row r="135" ht="42.75" customHeight="1">
      <c r="A135" s="15" t="n">
        <v>26</v>
      </c>
      <c r="B135" s="16" t="n"/>
      <c r="C135" s="15" t="inlineStr">
        <is>
          <t>26.3</t>
        </is>
      </c>
      <c r="D135" s="15" t="inlineStr">
        <is>
          <t>Cílová skupina: dospělí 18–40 let s léčenou hypertenzí; vyloučit děti/dospívající (jiné normy, souhlas rodičů) a těhotné. Systém neslouží k diagnostice – sekundární hypertenzi musí vyloučit lékař.</t>
        </is>
      </c>
      <c r="E135" s="15">
        <f>INDEX(Úkoly!$D$5:$D$37,MATCH(A135,Úkoly!$A$5:$A$37,0))</f>
        <v/>
      </c>
      <c r="F135" s="10" t="inlineStr">
        <is>
          <t>Nezahájeno</t>
        </is>
      </c>
      <c r="G135" s="10" t="n"/>
    </row>
    <row r="136" ht="42.75" customHeight="1">
      <c r="A136" s="15" t="n">
        <v>26</v>
      </c>
      <c r="B136" s="16" t="n"/>
      <c r="C136" s="15" t="inlineStr">
        <is>
          <t>26.4</t>
        </is>
      </c>
      <c r="D136" s="15" t="inlineStr">
        <is>
          <t>Přehled současných řešení – ta důležitá (aplikace výrobců tlakoměrů např. Omron, Withings; zdravotní platformy telefonů; nemocniční programy). Srovnat v tabulce a ukázat, že nepropojují tlak s životosprávou.</t>
        </is>
      </c>
      <c r="E136" s="15">
        <f>INDEX(Úkoly!$D$5:$D$37,MATCH(A136,Úkoly!$A$5:$A$37,0))</f>
        <v/>
      </c>
      <c r="F136" s="10" t="inlineStr">
        <is>
          <t>Nezahájeno</t>
        </is>
      </c>
      <c r="G136" s="10" t="n"/>
    </row>
    <row r="137">
      <c r="A137" s="15" t="n">
        <v>26</v>
      </c>
      <c r="B137" s="16" t="n"/>
      <c r="C137" s="15" t="inlineStr">
        <is>
          <t>26.5</t>
        </is>
      </c>
      <c r="D137" s="15" t="inlineStr">
        <is>
          <t>Sepsat zdroje a citovat je.</t>
        </is>
      </c>
      <c r="E137" s="15">
        <f>INDEX(Úkoly!$D$5:$D$37,MATCH(A137,Úkoly!$A$5:$A$37,0))</f>
        <v/>
      </c>
      <c r="F137" s="10" t="inlineStr">
        <is>
          <t>Nezahájeno</t>
        </is>
      </c>
      <c r="G137" s="10" t="n"/>
    </row>
    <row r="138">
      <c r="A138" s="15" t="n">
        <v>26</v>
      </c>
      <c r="B138" s="16" t="n"/>
      <c r="C138" s="15" t="inlineStr">
        <is>
          <t>26.6</t>
        </is>
      </c>
      <c r="D138" s="15" t="inlineStr">
        <is>
          <t>Napsat kapitolu (cca 2 strany).</t>
        </is>
      </c>
      <c r="E138" s="15">
        <f>INDEX(Úkoly!$D$5:$D$37,MATCH(A138,Úkoly!$A$5:$A$37,0))</f>
        <v/>
      </c>
      <c r="F138" s="10" t="inlineStr">
        <is>
          <t>Nezahájeno</t>
        </is>
      </c>
      <c r="G138" s="10" t="n"/>
    </row>
    <row r="139" ht="30" customHeight="1">
      <c r="A139" s="7" t="n">
        <v>27</v>
      </c>
      <c r="B139" s="14" t="inlineStr">
        <is>
          <t>Kapitola Nasazení (popis, požadavky na prostředí)</t>
        </is>
      </c>
      <c r="C139" s="7" t="inlineStr">
        <is>
          <t>27.1</t>
        </is>
      </c>
      <c r="D139" s="7" t="inlineStr">
        <is>
          <t>Popsat architekturu nasazení (server/cloud, kde běží API, portál, DB, integrátor), ideálně deployment diagramem.</t>
        </is>
      </c>
      <c r="E139" s="7">
        <f>INDEX(Úkoly!$D$5:$D$37,MATCH(A139,Úkoly!$A$5:$A$37,0))</f>
        <v/>
      </c>
      <c r="F139" s="10" t="inlineStr">
        <is>
          <t>Nezahájeno</t>
        </is>
      </c>
      <c r="G139" s="10" t="n"/>
    </row>
    <row r="140">
      <c r="A140" s="7" t="n">
        <v>27</v>
      </c>
      <c r="B140" s="14" t="n"/>
      <c r="C140" s="7" t="inlineStr">
        <is>
          <t>27.2</t>
        </is>
      </c>
      <c r="D140" s="7" t="inlineStr">
        <is>
          <t>Popsat požadavky na prostředí: HW/SW serveru, OS, síť, certifikáty, zálohování.</t>
        </is>
      </c>
      <c r="E140" s="7">
        <f>INDEX(Úkoly!$D$5:$D$37,MATCH(A140,Úkoly!$A$5:$A$37,0))</f>
        <v/>
      </c>
      <c r="F140" s="10" t="inlineStr">
        <is>
          <t>Nezahájeno</t>
        </is>
      </c>
      <c r="G140" s="10" t="n"/>
    </row>
    <row r="141">
      <c r="A141" s="7" t="n">
        <v>27</v>
      </c>
      <c r="B141" s="14" t="n"/>
      <c r="C141" s="7" t="inlineStr">
        <is>
          <t>27.3</t>
        </is>
      </c>
      <c r="D141" s="7" t="inlineStr">
        <is>
          <t>Popsat požadavky na straně pacienta (telefon, OS, Bluetooth) a lékaře (prohlížeč).</t>
        </is>
      </c>
      <c r="E141" s="7">
        <f>INDEX(Úkoly!$D$5:$D$37,MATCH(A141,Úkoly!$A$5:$A$37,0))</f>
        <v/>
      </c>
      <c r="F141" s="10" t="inlineStr">
        <is>
          <t>Nezahájeno</t>
        </is>
      </c>
      <c r="G141" s="10" t="n"/>
    </row>
    <row r="142" ht="28.5" customHeight="1">
      <c r="A142" s="7" t="n">
        <v>27</v>
      </c>
      <c r="B142" s="14" t="n"/>
      <c r="C142" s="7" t="inlineStr">
        <is>
          <t>27.4</t>
        </is>
      </c>
      <c r="D142" s="7" t="inlineStr">
        <is>
          <t>Popsat postup nasazení (prostředí test → produkce, migrace DB, konfigurace napojení na NIS).</t>
        </is>
      </c>
      <c r="E142" s="7">
        <f>INDEX(Úkoly!$D$5:$D$37,MATCH(A142,Úkoly!$A$5:$A$37,0))</f>
        <v/>
      </c>
      <c r="F142" s="10" t="inlineStr">
        <is>
          <t>Nezahájeno</t>
        </is>
      </c>
      <c r="G142" s="10" t="n"/>
    </row>
    <row r="143">
      <c r="A143" s="7" t="n">
        <v>27</v>
      </c>
      <c r="B143" s="14" t="n"/>
      <c r="C143" s="7" t="inlineStr">
        <is>
          <t>27.5</t>
        </is>
      </c>
      <c r="D143" s="7" t="inlineStr">
        <is>
          <t>Napsat kapitolu (cca 1–1,5 strany).</t>
        </is>
      </c>
      <c r="E143" s="7">
        <f>INDEX(Úkoly!$D$5:$D$37,MATCH(A143,Úkoly!$A$5:$A$37,0))</f>
        <v/>
      </c>
      <c r="F143" s="10" t="inlineStr">
        <is>
          <t>Nezahájeno</t>
        </is>
      </c>
      <c r="G143" s="10" t="n"/>
    </row>
    <row r="144" ht="30" customHeight="1">
      <c r="A144" s="15" t="n">
        <v>28</v>
      </c>
      <c r="B144" s="16" t="inlineStr">
        <is>
          <t>Zhodnocení systému a výhody oproti ostatním</t>
        </is>
      </c>
      <c r="C144" s="15" t="inlineStr">
        <is>
          <t>28.1</t>
        </is>
      </c>
      <c r="D144" s="15" t="inlineStr">
        <is>
          <t>Shrnout navržený systém v několika větách.</t>
        </is>
      </c>
      <c r="E144" s="15">
        <f>INDEX(Úkoly!$D$5:$D$37,MATCH(A144,Úkoly!$A$5:$A$37,0))</f>
        <v/>
      </c>
      <c r="F144" s="10" t="inlineStr">
        <is>
          <t>Nezahájeno</t>
        </is>
      </c>
      <c r="G144" s="10" t="n"/>
    </row>
    <row r="145" ht="28.5" customHeight="1">
      <c r="A145" s="15" t="n">
        <v>28</v>
      </c>
      <c r="B145" s="16" t="n"/>
      <c r="C145" s="15" t="inlineStr">
        <is>
          <t>28.2</t>
        </is>
      </c>
      <c r="D145" s="15" t="inlineStr">
        <is>
          <t>Hlavní výhoda: propojení tlaku, aktivity a životosprávy (sůl, energetické nápoje) pro mladé pacienty – porovnat se současnými řešeními (tabulka).</t>
        </is>
      </c>
      <c r="E145" s="15">
        <f>INDEX(Úkoly!$D$5:$D$37,MATCH(A145,Úkoly!$A$5:$A$37,0))</f>
        <v/>
      </c>
      <c r="F145" s="10" t="inlineStr">
        <is>
          <t>Nezahájeno</t>
        </is>
      </c>
      <c r="G145" s="10" t="n"/>
    </row>
    <row r="146" ht="28.5" customHeight="1">
      <c r="A146" s="15" t="n">
        <v>28</v>
      </c>
      <c r="B146" s="16" t="n"/>
      <c r="C146" s="15" t="inlineStr">
        <is>
          <t>28.3</t>
        </is>
      </c>
      <c r="D146" s="15" t="inlineStr">
        <is>
          <t>Omezení: ruční zadávání životosprávy, závislost na ochotě pacienta; možná rozšíření (napojení na nákupní/jídelní aplikace).</t>
        </is>
      </c>
      <c r="E146" s="15">
        <f>INDEX(Úkoly!$D$5:$D$37,MATCH(A146,Úkoly!$A$5:$A$37,0))</f>
        <v/>
      </c>
      <c r="F146" s="10" t="inlineStr">
        <is>
          <t>Nezahájeno</t>
        </is>
      </c>
      <c r="G146" s="10" t="n"/>
    </row>
    <row r="147">
      <c r="A147" s="15" t="n">
        <v>28</v>
      </c>
      <c r="B147" s="16" t="n"/>
      <c r="C147" s="15" t="inlineStr">
        <is>
          <t>28.4</t>
        </is>
      </c>
      <c r="D147" s="15" t="inlineStr">
        <is>
          <t>Napsat kapitolu (cca 0,5–1 strana) a odsouhlasit v týmu.</t>
        </is>
      </c>
      <c r="E147" s="15">
        <f>INDEX(Úkoly!$D$5:$D$37,MATCH(A147,Úkoly!$A$5:$A$37,0))</f>
        <v/>
      </c>
      <c r="F147" s="10" t="inlineStr">
        <is>
          <t>Nezahájeno</t>
        </is>
      </c>
      <c r="G147" s="10" t="n"/>
    </row>
    <row r="148">
      <c r="A148" s="7" t="n">
        <v>29</v>
      </c>
      <c r="B148" s="14" t="inlineStr">
        <is>
          <t>Výkaz práce členů v %</t>
        </is>
      </c>
      <c r="C148" s="7" t="inlineStr">
        <is>
          <t>29.1</t>
        </is>
      </c>
      <c r="D148" s="7" t="inlineStr">
        <is>
          <t>Průběžně si každý zapisuje, na čem pracoval (stačí tento sešit).</t>
        </is>
      </c>
      <c r="E148" s="7">
        <f>INDEX(Úkoly!$D$5:$D$37,MATCH(A148,Úkoly!$A$5:$A$37,0))</f>
        <v/>
      </c>
      <c r="F148" s="10" t="inlineStr">
        <is>
          <t>Nezahájeno</t>
        </is>
      </c>
      <c r="G148" s="10" t="n"/>
    </row>
    <row r="149">
      <c r="A149" s="7" t="n">
        <v>29</v>
      </c>
      <c r="B149" s="14" t="n"/>
      <c r="C149" s="7" t="inlineStr">
        <is>
          <t>29.2</t>
        </is>
      </c>
      <c r="D149" s="7" t="inlineStr">
        <is>
          <t>Na konci se domluvit na procentech podílu každého člena.</t>
        </is>
      </c>
      <c r="E149" s="7">
        <f>INDEX(Úkoly!$D$5:$D$37,MATCH(A149,Úkoly!$A$5:$A$37,0))</f>
        <v/>
      </c>
      <c r="F149" s="10" t="inlineStr">
        <is>
          <t>Nezahájeno</t>
        </is>
      </c>
      <c r="G149" s="10" t="n"/>
    </row>
    <row r="150">
      <c r="A150" s="7" t="n">
        <v>29</v>
      </c>
      <c r="B150" s="14" t="n"/>
      <c r="C150" s="7" t="inlineStr">
        <is>
          <t>29.3</t>
        </is>
      </c>
      <c r="D150" s="7" t="inlineStr">
        <is>
          <t>Vložit tabulku do dokumentu.</t>
        </is>
      </c>
      <c r="E150" s="7">
        <f>INDEX(Úkoly!$D$5:$D$37,MATCH(A150,Úkoly!$A$5:$A$37,0))</f>
        <v/>
      </c>
      <c r="F150" s="10" t="inlineStr">
        <is>
          <t>Nezahájeno</t>
        </is>
      </c>
      <c r="G150" s="10" t="n"/>
    </row>
    <row r="151" ht="30" customHeight="1">
      <c r="A151" s="15" t="n">
        <v>30</v>
      </c>
      <c r="B151" s="16" t="inlineStr">
        <is>
          <t>Prezentace (10–15 slidů), každý 2–3 slidy</t>
        </is>
      </c>
      <c r="C151" s="15" t="inlineStr">
        <is>
          <t>30.1</t>
        </is>
      </c>
      <c r="D151" s="15" t="inlineStr">
        <is>
          <t>Osnova (10–15 slidů): problém a cílová skupina, požadavky, architektura, 4 bloky, DB, GUI, implementace a testování, zhodnocení.</t>
        </is>
      </c>
      <c r="E151" s="15">
        <f>INDEX(Úkoly!$D$5:$D$37,MATCH(A151,Úkoly!$A$5:$A$37,0))</f>
        <v/>
      </c>
      <c r="F151" s="10" t="inlineStr">
        <is>
          <t>Nezahájeno</t>
        </is>
      </c>
      <c r="G151" s="10" t="n"/>
    </row>
    <row r="152">
      <c r="A152" s="15" t="n">
        <v>30</v>
      </c>
      <c r="B152" s="16" t="n"/>
      <c r="C152" s="15" t="inlineStr">
        <is>
          <t>30.2</t>
        </is>
      </c>
      <c r="D152" s="15" t="inlineStr">
        <is>
          <t>Každý připraví 2–3 slidy ke svému bloku do společné šablony.</t>
        </is>
      </c>
      <c r="E152" s="15">
        <f>INDEX(Úkoly!$D$5:$D$37,MATCH(A152,Úkoly!$A$5:$A$37,0))</f>
        <v/>
      </c>
      <c r="F152" s="10" t="inlineStr">
        <is>
          <t>Nezahájeno</t>
        </is>
      </c>
      <c r="G152" s="10" t="n"/>
    </row>
    <row r="153">
      <c r="A153" s="15" t="n">
        <v>30</v>
      </c>
      <c r="B153" s="16" t="n"/>
      <c r="C153" s="15" t="inlineStr">
        <is>
          <t>30.3</t>
        </is>
      </c>
      <c r="D153" s="15" t="inlineStr">
        <is>
          <t>Sjednotit vzhled a vložit klíčové diagramy a mockupy.</t>
        </is>
      </c>
      <c r="E153" s="15">
        <f>INDEX(Úkoly!$D$5:$D$37,MATCH(A153,Úkoly!$A$5:$A$37,0))</f>
        <v/>
      </c>
      <c r="F153" s="10" t="inlineStr">
        <is>
          <t>Nezahájeno</t>
        </is>
      </c>
      <c r="G153" s="10" t="n"/>
    </row>
    <row r="154">
      <c r="A154" s="15" t="n">
        <v>30</v>
      </c>
      <c r="B154" s="16" t="n"/>
      <c r="C154" s="15" t="inlineStr">
        <is>
          <t>30.4</t>
        </is>
      </c>
      <c r="D154" s="15" t="inlineStr">
        <is>
          <t>Rozdělit, kdo co říká; nacvičit s časomírou (cca 15 min).</t>
        </is>
      </c>
      <c r="E154" s="15">
        <f>INDEX(Úkoly!$D$5:$D$37,MATCH(A154,Úkoly!$A$5:$A$37,0))</f>
        <v/>
      </c>
      <c r="F154" s="10" t="inlineStr">
        <is>
          <t>Nezahájeno</t>
        </is>
      </c>
      <c r="G154" s="10" t="n"/>
    </row>
    <row r="155" ht="28.5" customHeight="1">
      <c r="A155" s="15" t="n">
        <v>30</v>
      </c>
      <c r="B155" s="16" t="n"/>
      <c r="C155" s="15" t="inlineStr">
        <is>
          <t>30.5</t>
        </is>
      </c>
      <c r="D155" s="15" t="inlineStr">
        <is>
          <t>Navzájem si klást otázky komise (bezpečnost, FHIR, výpadek NIS, offline režim, proč tyto limity alertů).</t>
        </is>
      </c>
      <c r="E155" s="15">
        <f>INDEX(Úkoly!$D$5:$D$37,MATCH(A155,Úkoly!$A$5:$A$37,0))</f>
        <v/>
      </c>
      <c r="F155" s="10" t="inlineStr">
        <is>
          <t>Nezahájeno</t>
        </is>
      </c>
      <c r="G155" s="10" t="n"/>
    </row>
    <row r="156" ht="30" customHeight="1">
      <c r="A156" s="7" t="n">
        <v>31</v>
      </c>
      <c r="B156" s="14" t="inlineStr">
        <is>
          <t>Finální redakce: jednotný styl diagramů a terminologie</t>
        </is>
      </c>
      <c r="C156" s="7" t="inlineStr">
        <is>
          <t>31.1</t>
        </is>
      </c>
      <c r="D156" s="7" t="inlineStr">
        <is>
          <t>Spojit všechny části do jednoho dokumentu podle osnovy zadání.</t>
        </is>
      </c>
      <c r="E156" s="7">
        <f>INDEX(Úkoly!$D$5:$D$37,MATCH(A156,Úkoly!$A$5:$A$37,0))</f>
        <v/>
      </c>
      <c r="F156" s="10" t="inlineStr">
        <is>
          <t>Nezahájeno</t>
        </is>
      </c>
      <c r="G156" s="10" t="n"/>
    </row>
    <row r="157" ht="28.5" customHeight="1">
      <c r="A157" s="7" t="n">
        <v>31</v>
      </c>
      <c r="B157" s="14" t="n"/>
      <c r="C157" s="7" t="inlineStr">
        <is>
          <t>31.2</t>
        </is>
      </c>
      <c r="D157" s="7" t="inlineStr">
        <is>
          <t>Zkontrolovat všechny minimální požadavky zadání (UC diagramy, ≥ 5 stavových diagramů, DB ≥ 6 tabulek, GUI web + aplikace, všechny kapitoly).</t>
        </is>
      </c>
      <c r="E157" s="7">
        <f>INDEX(Úkoly!$D$5:$D$37,MATCH(A157,Úkoly!$A$5:$A$37,0))</f>
        <v/>
      </c>
      <c r="F157" s="10" t="inlineStr">
        <is>
          <t>Nezahájeno</t>
        </is>
      </c>
      <c r="G157" s="10" t="n"/>
    </row>
    <row r="158">
      <c r="A158" s="7" t="n">
        <v>31</v>
      </c>
      <c r="B158" s="14" t="n"/>
      <c r="C158" s="7" t="inlineStr">
        <is>
          <t>31.3</t>
        </is>
      </c>
      <c r="D158" s="7" t="inlineStr">
        <is>
          <t>Sjednotit terminologii, styl diagramů, číslování obrázků a tabulek.</t>
        </is>
      </c>
      <c r="E158" s="7">
        <f>INDEX(Úkoly!$D$5:$D$37,MATCH(A158,Úkoly!$A$5:$A$37,0))</f>
        <v/>
      </c>
      <c r="F158" s="10" t="inlineStr">
        <is>
          <t>Nezahájeno</t>
        </is>
      </c>
      <c r="G158" s="10" t="n"/>
    </row>
    <row r="159">
      <c r="A159" s="7" t="n">
        <v>31</v>
      </c>
      <c r="B159" s="14" t="n"/>
      <c r="C159" s="7" t="inlineStr">
        <is>
          <t>31.4</t>
        </is>
      </c>
      <c r="D159" s="7" t="inlineStr">
        <is>
          <t>Doplnit obsah, seznam obrázků a zdroje.</t>
        </is>
      </c>
      <c r="E159" s="7">
        <f>INDEX(Úkoly!$D$5:$D$37,MATCH(A159,Úkoly!$A$5:$A$37,0))</f>
        <v/>
      </c>
      <c r="F159" s="10" t="inlineStr">
        <is>
          <t>Nezahájeno</t>
        </is>
      </c>
      <c r="G159" s="10" t="n"/>
    </row>
    <row r="160" ht="28.5" customHeight="1">
      <c r="A160" s="7" t="n">
        <v>31</v>
      </c>
      <c r="B160" s="14" t="n"/>
      <c r="C160" s="7" t="inlineStr">
        <is>
          <t>31.5</t>
        </is>
      </c>
      <c r="D160" s="7" t="inlineStr">
        <is>
          <t>Jeden člověk přečte celý dokument; opravit chyby a zkontrolovat rozsah (cca 20 stran).</t>
        </is>
      </c>
      <c r="E160" s="7">
        <f>INDEX(Úkoly!$D$5:$D$37,MATCH(A160,Úkoly!$A$5:$A$37,0))</f>
        <v/>
      </c>
      <c r="F160" s="10" t="inlineStr">
        <is>
          <t>Nezahájeno</t>
        </is>
      </c>
      <c r="G160" s="10" t="n"/>
    </row>
    <row r="161">
      <c r="A161" s="7" t="n">
        <v>31</v>
      </c>
      <c r="B161" s="14" t="n"/>
      <c r="C161" s="7" t="inlineStr">
        <is>
          <t>31.6</t>
        </is>
      </c>
      <c r="D161" s="7" t="inlineStr">
        <is>
          <t>Odevzdat; po konzultaci zapracovat připomínky před zápočtem.</t>
        </is>
      </c>
      <c r="E161" s="7">
        <f>INDEX(Úkoly!$D$5:$D$37,MATCH(A161,Úkoly!$A$5:$A$37,0))</f>
        <v/>
      </c>
      <c r="F161" s="10" t="inlineStr">
        <is>
          <t>Nezahájeno</t>
        </is>
      </c>
      <c r="G161" s="10" t="n"/>
    </row>
    <row r="162" ht="30" customHeight="1">
      <c r="A162" s="15" t="n">
        <v>32</v>
      </c>
      <c r="B162" s="16" t="inlineStr">
        <is>
          <t>GitHub: průběžné používání a finální odevzdání (hodnotí se)</t>
        </is>
      </c>
      <c r="C162" s="15" t="inlineStr">
        <is>
          <t>32.1</t>
        </is>
      </c>
      <c r="D162" s="15" t="inlineStr">
        <is>
          <t>Založit repozitář, strukturu složek (/spolecne, /1-pacientska, /2-portal, /3-api-db, /4-integrator, /prezentace) a .gitignore.</t>
        </is>
      </c>
      <c r="E162" s="15">
        <f>INDEX(Úkoly!$D$5:$D$37,MATCH(A162,Úkoly!$A$5:$A$37,0))</f>
        <v/>
      </c>
      <c r="F162" s="10" t="inlineStr">
        <is>
          <t>Rozpracováno</t>
        </is>
      </c>
      <c r="G162" s="10" t="n"/>
    </row>
    <row r="163" ht="28.5" customHeight="1">
      <c r="A163" s="15" t="n">
        <v>32</v>
      </c>
      <c r="B163" s="16" t="n"/>
      <c r="C163" s="15" t="inlineStr">
        <is>
          <t>32.2</t>
        </is>
      </c>
      <c r="D163" s="15" t="inlineStr">
        <is>
          <t>Každý commituje průběžně, aspoň 1× týdně, s popisnými zprávami – používání gitu se hodnotí.</t>
        </is>
      </c>
      <c r="E163" s="15">
        <f>INDEX(Úkoly!$D$5:$D$37,MATCH(A163,Úkoly!$A$5:$A$37,0))</f>
        <v/>
      </c>
      <c r="F163" s="10" t="inlineStr">
        <is>
          <t>Rozpracováno</t>
        </is>
      </c>
      <c r="G163" s="10" t="inlineStr">
        <is>
          <t>Psát popisné commit zprávy.</t>
        </is>
      </c>
    </row>
    <row r="164">
      <c r="A164" s="15" t="n">
        <v>32</v>
      </c>
      <c r="B164" s="16" t="n"/>
      <c r="C164" s="15" t="inlineStr">
        <is>
          <t>32.3</t>
        </is>
      </c>
      <c r="D164" s="15" t="inlineStr">
        <is>
          <t>Změny v /spolecne přes krátkou větev a Pull Request se schválením.</t>
        </is>
      </c>
      <c r="E164" s="15">
        <f>INDEX(Úkoly!$D$5:$D$37,MATCH(A164,Úkoly!$A$5:$A$37,0))</f>
        <v/>
      </c>
      <c r="F164" s="10" t="inlineStr">
        <is>
          <t>Nezahájeno</t>
        </is>
      </c>
      <c r="G164" s="10" t="n"/>
    </row>
    <row r="165">
      <c r="A165" s="15" t="n">
        <v>32</v>
      </c>
      <c r="B165" s="16" t="n"/>
      <c r="C165" s="15" t="inlineStr">
        <is>
          <t>32.4</t>
        </is>
      </c>
      <c r="D165" s="15" t="inlineStr">
        <is>
          <t>Tagy u milníků: v-konzultace-1211, v-konzultace-2611.</t>
        </is>
      </c>
      <c r="E165" s="15">
        <f>INDEX(Úkoly!$D$5:$D$37,MATCH(A165,Úkoly!$A$5:$A$37,0))</f>
        <v/>
      </c>
      <c r="F165" s="10" t="inlineStr">
        <is>
          <t>Nezahájeno</t>
        </is>
      </c>
      <c r="G165" s="10" t="n"/>
    </row>
    <row r="166">
      <c r="A166" s="15" t="n">
        <v>32</v>
      </c>
      <c r="B166" s="16" t="n"/>
      <c r="C166" s="15" t="inlineStr">
        <is>
          <t>32.5</t>
        </is>
      </c>
      <c r="D166" s="15" t="inlineStr">
        <is>
          <t>Na konci nahrát finální Word, PDF a PPTX z OneDrive do repozitáře.</t>
        </is>
      </c>
      <c r="E166" s="15">
        <f>INDEX(Úkoly!$D$5:$D$37,MATCH(A166,Úkoly!$A$5:$A$37,0))</f>
        <v/>
      </c>
      <c r="F166" s="10" t="inlineStr">
        <is>
          <t>Nezahájeno</t>
        </is>
      </c>
      <c r="G166" s="10" t="n"/>
    </row>
    <row r="167">
      <c r="A167" s="15" t="n">
        <v>32</v>
      </c>
      <c r="B167" s="16" t="n"/>
      <c r="C167" s="15" t="inlineStr">
        <is>
          <t>32.6</t>
        </is>
      </c>
      <c r="D167" s="15" t="inlineStr">
        <is>
          <t>Přidat vyučující do repozitáře a vytvořit tag v-odevzdani.</t>
        </is>
      </c>
      <c r="E167" s="15">
        <f>INDEX(Úkoly!$D$5:$D$37,MATCH(A167,Úkoly!$A$5:$A$37,0))</f>
        <v/>
      </c>
      <c r="F167" s="10" t="inlineStr">
        <is>
          <t>Nezahájeno</t>
        </is>
      </c>
      <c r="G167" s="10" t="n"/>
    </row>
    <row r="168" ht="45" customHeight="1">
      <c r="A168" s="7" t="n">
        <v>33</v>
      </c>
      <c r="B168" s="14" t="inlineStr">
        <is>
          <t>Porozumění celku: každý umí vysvětlit svůj blok i tok dat od tlakoměru do NIS</t>
        </is>
      </c>
      <c r="C168" s="7" t="inlineStr">
        <is>
          <t>33.1</t>
        </is>
      </c>
      <c r="D168" s="7" t="inlineStr">
        <is>
          <t>Na každé týdenní schůzce každý ve 3 minutách vysvětlí, co ve svém bloku udělal a proč.</t>
        </is>
      </c>
      <c r="E168" s="7">
        <f>INDEX(Úkoly!$D$5:$D$37,MATCH(A168,Úkoly!$A$5:$A$37,0))</f>
        <v/>
      </c>
      <c r="F168" s="10" t="inlineStr">
        <is>
          <t>Nezahájeno</t>
        </is>
      </c>
      <c r="G168" s="10" t="n"/>
    </row>
    <row r="169" ht="28.5" customHeight="1">
      <c r="A169" s="7" t="n">
        <v>33</v>
      </c>
      <c r="B169" s="14" t="n"/>
      <c r="C169" s="7" t="inlineStr">
        <is>
          <t>33.2</t>
        </is>
      </c>
      <c r="D169" s="7" t="inlineStr">
        <is>
          <t>Každý umí popsat celý tok dat: tlakoměr → aplikace → API → DB → portál / integrátor → NIS.</t>
        </is>
      </c>
      <c r="E169" s="7">
        <f>INDEX(Úkoly!$D$5:$D$37,MATCH(A169,Úkoly!$A$5:$A$37,0))</f>
        <v/>
      </c>
      <c r="F169" s="10" t="inlineStr">
        <is>
          <t>Nezahájeno</t>
        </is>
      </c>
      <c r="G169" s="10" t="n"/>
    </row>
    <row r="170" ht="28.5" customHeight="1">
      <c r="A170" s="7" t="n">
        <v>33</v>
      </c>
      <c r="B170" s="14" t="n"/>
      <c r="C170" s="7" t="inlineStr">
        <is>
          <t>33.3</t>
        </is>
      </c>
      <c r="D170" s="7" t="inlineStr">
        <is>
          <t>Každý zná hlavní rozhodnutí ostatních bloků (role, limity alertů, FHIR mapování, tabulky DB).</t>
        </is>
      </c>
      <c r="E170" s="7">
        <f>INDEX(Úkoly!$D$5:$D$37,MATCH(A170,Úkoly!$A$5:$A$37,0))</f>
        <v/>
      </c>
      <c r="F170" s="10" t="inlineStr">
        <is>
          <t>Nezahájeno</t>
        </is>
      </c>
      <c r="G170" s="10" t="n"/>
    </row>
    <row r="171">
      <c r="A171" s="7" t="n">
        <v>33</v>
      </c>
      <c r="B171" s="14" t="n"/>
      <c r="C171" s="7" t="inlineStr">
        <is>
          <t>33.4</t>
        </is>
      </c>
      <c r="D171" s="7" t="inlineStr">
        <is>
          <t>Před prezentací: „zkouška“ – náhodně vylosovaný člen vysvětlí cizí blok.</t>
        </is>
      </c>
      <c r="E171" s="7">
        <f>INDEX(Úkoly!$D$5:$D$37,MATCH(A171,Úkoly!$A$5:$A$37,0))</f>
        <v/>
      </c>
      <c r="F171" s="10" t="inlineStr">
        <is>
          <t>Nezahájeno</t>
        </is>
      </c>
      <c r="G171" s="10" t="n"/>
    </row>
  </sheetData>
  <autoFilter ref="A4:G171"/>
  <conditionalFormatting sqref="F5:F171">
    <cfRule type="cellIs" priority="2" operator="equal" dxfId="1">
      <formula>"Hotovo"</formula>
    </cfRule>
    <cfRule type="cellIs" priority="3" operator="equal" dxfId="0">
      <formula>"Rozpracováno"</formula>
    </cfRule>
  </conditionalFormatting>
  <dataValidations count="1">
    <dataValidation sqref="F5:F171" showDropDown="0" showInputMessage="0" showErrorMessage="0" allowBlank="1" type="list">
      <formula1>"Nezahájeno,Rozpracováno,Hotovo"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Normal="100" workbookViewId="0">
      <selection activeCell="A1" sqref="A1"/>
    </sheetView>
  </sheetViews>
  <sheetFormatPr baseColWidth="8" defaultColWidth="8.7109375" defaultRowHeight="15"/>
  <cols>
    <col width="28" customWidth="1" min="1" max="1"/>
    <col width="14" customWidth="1" min="2" max="2"/>
    <col width="10" customWidth="1" min="3" max="3"/>
    <col width="15" customWidth="1" min="4" max="4"/>
    <col width="11" customWidth="1" min="5" max="5"/>
  </cols>
  <sheetData>
    <row r="1" ht="18" customHeight="1">
      <c r="A1" s="2" t="inlineStr">
        <is>
          <t>Přehled postupu podle odpovědnosti</t>
        </is>
      </c>
    </row>
    <row r="3" ht="30" customHeight="1">
      <c r="A3" s="5" t="inlineStr">
        <is>
          <t>Odpovídá</t>
        </is>
      </c>
      <c r="B3" s="5" t="inlineStr">
        <is>
          <t>Úkolů celkem</t>
        </is>
      </c>
      <c r="C3" s="5" t="inlineStr">
        <is>
          <t>Hotovo</t>
        </is>
      </c>
      <c r="D3" s="5" t="inlineStr">
        <is>
          <t>Rozpracováno</t>
        </is>
      </c>
      <c r="E3" s="5" t="inlineStr">
        <is>
          <t>Hotovo %</t>
        </is>
      </c>
    </row>
    <row r="4">
      <c r="A4" s="7" t="inlineStr">
        <is>
          <t>1 – Pacientská část</t>
        </is>
      </c>
      <c r="B4" s="7">
        <f>COUNTIF(Úkoly!$D$5:$D$37,A4)</f>
        <v/>
      </c>
      <c r="C4" s="7">
        <f>COUNTIFS(Úkoly!$D$5:$D$37,A4,Úkoly!$F$5:$F$37,"Hotovo")</f>
        <v/>
      </c>
      <c r="D4" s="7">
        <f>COUNTIFS(Úkoly!$D$5:$D$37,A4,Úkoly!$F$5:$F$37,"Rozpracováno")</f>
        <v/>
      </c>
      <c r="E4" s="17">
        <f>IF(B4=0,0,C4/B4)</f>
        <v/>
      </c>
    </row>
    <row r="5">
      <c r="A5" s="7" t="inlineStr">
        <is>
          <t>2 – Webový portál</t>
        </is>
      </c>
      <c r="B5" s="7">
        <f>COUNTIF(Úkoly!$D$5:$D$37,A5)</f>
        <v/>
      </c>
      <c r="C5" s="7">
        <f>COUNTIFS(Úkoly!$D$5:$D$37,A5,Úkoly!$F$5:$F$37,"Hotovo")</f>
        <v/>
      </c>
      <c r="D5" s="7">
        <f>COUNTIFS(Úkoly!$D$5:$D$37,A5,Úkoly!$F$5:$F$37,"Rozpracováno")</f>
        <v/>
      </c>
      <c r="E5" s="17">
        <f>IF(B5=0,0,C5/B5)</f>
        <v/>
      </c>
    </row>
    <row r="6">
      <c r="A6" s="7" t="inlineStr">
        <is>
          <t>3 – WEB API + databáze</t>
        </is>
      </c>
      <c r="B6" s="7">
        <f>COUNTIF(Úkoly!$D$5:$D$37,A6)</f>
        <v/>
      </c>
      <c r="C6" s="7">
        <f>COUNTIFS(Úkoly!$D$5:$D$37,A6,Úkoly!$F$5:$F$37,"Hotovo")</f>
        <v/>
      </c>
      <c r="D6" s="7">
        <f>COUNTIFS(Úkoly!$D$5:$D$37,A6,Úkoly!$F$5:$F$37,"Rozpracováno")</f>
        <v/>
      </c>
      <c r="E6" s="17">
        <f>IF(B6=0,0,C6/B6)</f>
        <v/>
      </c>
    </row>
    <row r="7">
      <c r="A7" s="7" t="inlineStr">
        <is>
          <t>4 – Integrátor NIS (FHIR)</t>
        </is>
      </c>
      <c r="B7" s="7">
        <f>COUNTIF(Úkoly!$D$5:$D$37,A7)</f>
        <v/>
      </c>
      <c r="C7" s="7">
        <f>COUNTIFS(Úkoly!$D$5:$D$37,A7,Úkoly!$F$5:$F$37,"Hotovo")</f>
        <v/>
      </c>
      <c r="D7" s="7">
        <f>COUNTIFS(Úkoly!$D$5:$D$37,A7,Úkoly!$F$5:$F$37,"Rozpracováno")</f>
        <v/>
      </c>
      <c r="E7" s="17">
        <f>IF(B7=0,0,C7/B7)</f>
        <v/>
      </c>
    </row>
    <row r="8">
      <c r="A8" s="7" t="inlineStr">
        <is>
          <t>Společně</t>
        </is>
      </c>
      <c r="B8" s="7">
        <f>COUNTIF(Úkoly!$D$5:$D$37,A8)</f>
        <v/>
      </c>
      <c r="C8" s="7">
        <f>COUNTIFS(Úkoly!$D$5:$D$37,A8,Úkoly!$F$5:$F$37,"Hotovo")</f>
        <v/>
      </c>
      <c r="D8" s="7">
        <f>COUNTIFS(Úkoly!$D$5:$D$37,A8,Úkoly!$F$5:$F$37,"Rozpracováno")</f>
        <v/>
      </c>
      <c r="E8" s="17">
        <f>IF(B8=0,0,C8/B8)</f>
        <v/>
      </c>
    </row>
    <row r="9">
      <c r="A9" s="6" t="inlineStr">
        <is>
          <t>Celkem</t>
        </is>
      </c>
      <c r="B9" s="6">
        <f>SUM(B4:B8)</f>
        <v/>
      </c>
      <c r="C9" s="6">
        <f>SUM(C4:C8)</f>
        <v/>
      </c>
      <c r="D9" s="6">
        <f>SUM(D4:D8)</f>
        <v/>
      </c>
      <c r="E9" s="18">
        <f>IF(B9=0,0,C9/B9)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" sqref="A1"/>
    </sheetView>
  </sheetViews>
  <sheetFormatPr baseColWidth="8" defaultColWidth="8.7109375" defaultRowHeight="15"/>
  <cols>
    <col width="7" customWidth="1" min="1" max="1"/>
    <col width="8" customWidth="1" min="2" max="2"/>
    <col width="11" customWidth="1" min="3" max="3"/>
    <col width="24" customWidth="1" min="4" max="4"/>
    <col width="40" customWidth="1" min="5" max="5"/>
    <col width="30" customWidth="1" min="6" max="9"/>
  </cols>
  <sheetData>
    <row r="1" ht="18" customHeight="1">
      <c r="A1" s="2" t="inlineStr">
        <is>
          <t>Týdenní harmonogram (termín = středa večer, ve čtvrtek se na hodině kontroluje)</t>
        </is>
      </c>
    </row>
    <row r="2">
      <c r="A2" s="8" t="inlineStr">
        <is>
          <t>Čísla #N odpovídají úkolům v listu Úkoly. Vše hotovo do 9.12., týden 10.–16.12. je rezerva.</t>
        </is>
      </c>
    </row>
    <row r="4" ht="30" customHeight="1">
      <c r="A4" s="5" t="inlineStr">
        <is>
          <t>Týden</t>
        </is>
      </c>
      <c r="B4" s="5" t="inlineStr">
        <is>
          <t>Od</t>
        </is>
      </c>
      <c r="C4" s="5" t="inlineStr">
        <is>
          <t>Termín</t>
        </is>
      </c>
      <c r="D4" s="5" t="inlineStr">
        <is>
          <t>Konzultace / milník</t>
        </is>
      </c>
      <c r="E4" s="5" t="inlineStr">
        <is>
          <t>Společně</t>
        </is>
      </c>
      <c r="F4" s="5" t="inlineStr">
        <is>
          <t>1 – Pacientská část</t>
        </is>
      </c>
      <c r="G4" s="5" t="inlineStr">
        <is>
          <t>2 – Webový portál</t>
        </is>
      </c>
      <c r="H4" s="5" t="inlineStr">
        <is>
          <t>3 – WEB API + databáze</t>
        </is>
      </c>
      <c r="I4" s="5" t="inlineStr">
        <is>
          <t>4 – Integrátor NIS (FHIR)</t>
        </is>
      </c>
    </row>
    <row r="5" ht="57" customHeight="1">
      <c r="A5" s="11" t="inlineStr">
        <is>
          <t>1</t>
        </is>
      </c>
      <c r="B5" s="19" t="n">
        <v>46303</v>
      </c>
      <c r="C5" s="20" t="n">
        <v>46309</v>
      </c>
      <c r="D5" s="21" t="inlineStr">
        <is>
          <t>8.10. konzultace – sběr požadavků</t>
        </is>
      </c>
      <c r="E5" s="11" t="inlineStr">
        <is>
          <t>#1 hypertenze zvolena ✓; #3 aktéři a hrubé schéma; založit GitHub (#32), OneDrive, šablonu draw.io; začít #2 požadavky</t>
        </is>
      </c>
      <c r="F5" s="11" t="inlineStr">
        <is>
          <t>Nasbírat požadavky na aplikaci a senzor</t>
        </is>
      </c>
      <c r="G5" s="11" t="inlineStr">
        <is>
          <t>Nasbírat požadavky na portál a role</t>
        </is>
      </c>
      <c r="H5" s="11" t="inlineStr">
        <is>
          <t>Nasbírat požadavky na API a data</t>
        </is>
      </c>
      <c r="I5" s="11" t="inlineStr">
        <is>
          <t>Nasbírat požadavky na integrátor; rešerše současných řešení</t>
        </is>
      </c>
    </row>
    <row r="6" ht="28.5" customHeight="1">
      <c r="A6" s="7" t="inlineStr">
        <is>
          <t>2</t>
        </is>
      </c>
      <c r="B6" s="22" t="n">
        <v>46310</v>
      </c>
      <c r="C6" s="12" t="n">
        <v>46316</v>
      </c>
      <c r="D6" s="14" t="n"/>
      <c r="E6" s="7" t="inlineStr">
        <is>
          <t>#2 dokončit analýzu požadavků; začít #5 dohodu rozhraní</t>
        </is>
      </c>
      <c r="F6" s="7" t="inlineStr">
        <is>
          <t>Začít #7 UC pacientská aplikace</t>
        </is>
      </c>
      <c r="G6" s="7" t="inlineStr">
        <is>
          <t>Začít #13 UC portál</t>
        </is>
      </c>
      <c r="H6" s="7" t="inlineStr">
        <is>
          <t>Začít #18 UC API; sbírat požadavky na data pro DB</t>
        </is>
      </c>
      <c r="I6" s="7" t="inlineStr">
        <is>
          <t>Začít #23 UC integrátor; nastudovat FHIR (#25)</t>
        </is>
      </c>
    </row>
    <row r="7" ht="28.5" customHeight="1">
      <c r="A7" s="7" t="inlineStr">
        <is>
          <t>3</t>
        </is>
      </c>
      <c r="B7" s="22" t="n">
        <v>46317</v>
      </c>
      <c r="C7" s="12" t="n">
        <v>46323</v>
      </c>
      <c r="D7" s="14" t="n"/>
      <c r="E7" s="7" t="inlineStr">
        <is>
          <t>#6 bezpečnost a GDPR</t>
        </is>
      </c>
      <c r="F7" s="7" t="inlineStr">
        <is>
          <t>#7 UC hotovo</t>
        </is>
      </c>
      <c r="G7" s="7" t="inlineStr">
        <is>
          <t>#13 UC hotovo</t>
        </is>
      </c>
      <c r="H7" s="7" t="inlineStr">
        <is>
          <t>#18 UC hotovo; první návrh tabulek (#20)</t>
        </is>
      </c>
      <c r="I7" s="7" t="inlineStr">
        <is>
          <t>#23 UC hotovo; mapování na FHIR zdroje (#25)</t>
        </is>
      </c>
    </row>
    <row r="8" ht="28.5" customHeight="1">
      <c r="A8" s="7" t="inlineStr">
        <is>
          <t>4</t>
        </is>
      </c>
      <c r="B8" s="22" t="n">
        <v>46324</v>
      </c>
      <c r="C8" s="12" t="n">
        <v>46330</v>
      </c>
      <c r="D8" s="14" t="n"/>
      <c r="E8" s="7" t="inlineStr">
        <is>
          <t>#5 dohoda rozhraní finální; role 3 kreslí návrh component diagramu (#4)</t>
        </is>
      </c>
      <c r="F8" s="7" t="inlineStr">
        <is>
          <t>#8 + #9 stavové diagramy</t>
        </is>
      </c>
      <c r="G8" s="7" t="inlineStr">
        <is>
          <t>#14 stavový diagram alertu</t>
        </is>
      </c>
      <c r="H8" s="7" t="inlineStr">
        <is>
          <t>#19 stavový diagram; #20 ER diagram hotový</t>
        </is>
      </c>
      <c r="I8" s="7" t="inlineStr">
        <is>
          <t>#24 stavový diagram synchronizace</t>
        </is>
      </c>
    </row>
    <row r="9" ht="45" customHeight="1">
      <c r="A9" s="7" t="inlineStr">
        <is>
          <t>5</t>
        </is>
      </c>
      <c r="B9" s="22" t="n">
        <v>46331</v>
      </c>
      <c r="C9" s="12" t="n">
        <v>46337</v>
      </c>
      <c r="D9" s="14" t="inlineStr">
        <is>
          <t>Propojení: vše zkontrolovat před konzultací</t>
        </is>
      </c>
      <c r="E9" s="7" t="inlineStr">
        <is>
          <t>#4 component diagram finální; všichni si navzájem zkontrolují diagramy (soulad UC ↔ DB ↔ rozhraní)</t>
        </is>
      </c>
      <c r="F9" s="7" t="inlineStr">
        <is>
          <t>#10 popis pacientské části</t>
        </is>
      </c>
      <c r="G9" s="7" t="inlineStr">
        <is>
          <t>#15 popis portálu a oprávnění</t>
        </is>
      </c>
      <c r="H9" s="7" t="inlineStr">
        <is>
          <t>#21 popis API a DB</t>
        </is>
      </c>
      <c r="I9" s="7" t="inlineStr">
        <is>
          <t>#25 popis integrátoru a FHIR</t>
        </is>
      </c>
    </row>
    <row r="10" ht="45" customHeight="1">
      <c r="A10" s="11" t="inlineStr">
        <is>
          <t>6</t>
        </is>
      </c>
      <c r="B10" s="19" t="n">
        <v>46338</v>
      </c>
      <c r="C10" s="20" t="n">
        <v>46344</v>
      </c>
      <c r="D10" s="21" t="inlineStr">
        <is>
          <t>12.11. konzultace – architektura a rozdělení</t>
        </is>
      </c>
      <c r="E10" s="11" t="inlineStr">
        <is>
          <t>Zapracovat připomínky z konzultace; zeptat se na otevřené otázky z listu Rozhodnutí</t>
        </is>
      </c>
      <c r="F10" s="11" t="inlineStr">
        <is>
          <t>Wireframy mobilní aplikace (#11)</t>
        </is>
      </c>
      <c r="G10" s="11" t="inlineStr">
        <is>
          <t>Wireframy portálu (#16)</t>
        </is>
      </c>
      <c r="H10" s="11" t="inlineStr">
        <is>
          <t>Začít #22 Implementace</t>
        </is>
      </c>
      <c r="I10" s="11" t="inlineStr">
        <is>
          <t>#26 Úvod hotový</t>
        </is>
      </c>
    </row>
    <row r="11" ht="42.75" customHeight="1">
      <c r="A11" s="7" t="inlineStr">
        <is>
          <t>7</t>
        </is>
      </c>
      <c r="B11" s="22" t="n">
        <v>46345</v>
      </c>
      <c r="C11" s="12" t="n">
        <v>46351</v>
      </c>
      <c r="D11" s="14" t="n"/>
      <c r="E11" s="7" t="inlineStr">
        <is>
          <t>Sjednotit vzhled GUI (aplikace × portál)</t>
        </is>
      </c>
      <c r="F11" s="7" t="inlineStr">
        <is>
          <t>#11 GUI aplikace hotové; začít #12 Údržba</t>
        </is>
      </c>
      <c r="G11" s="7" t="inlineStr">
        <is>
          <t>#16 GUI portálu hotové; začít #17 Testování (sebrat scénáře od ostatních)</t>
        </is>
      </c>
      <c r="H11" s="7" t="inlineStr">
        <is>
          <t>#22 Implementace – koncept</t>
        </is>
      </c>
      <c r="I11" s="7" t="inlineStr">
        <is>
          <t>Začít #27 Nasazení</t>
        </is>
      </c>
    </row>
    <row r="12" ht="30" customHeight="1">
      <c r="A12" s="11" t="inlineStr">
        <is>
          <t>8</t>
        </is>
      </c>
      <c r="B12" s="19" t="n">
        <v>46352</v>
      </c>
      <c r="C12" s="20" t="n">
        <v>46358</v>
      </c>
      <c r="D12" s="21" t="inlineStr">
        <is>
          <t>26.11. konzultace – kontrola postupu</t>
        </is>
      </c>
      <c r="E12" s="11" t="inlineStr">
        <is>
          <t>Zapracovat připomínky; #28 Zhodnocení; osnova prezentace (#30)</t>
        </is>
      </c>
      <c r="F12" s="11" t="inlineStr">
        <is>
          <t>#12 Údržba hotová</t>
        </is>
      </c>
      <c r="G12" s="11" t="inlineStr">
        <is>
          <t>#17 Testování hotové</t>
        </is>
      </c>
      <c r="H12" s="11" t="inlineStr">
        <is>
          <t>#22 Implementace hotová</t>
        </is>
      </c>
      <c r="I12" s="11" t="inlineStr">
        <is>
          <t>#27 Nasazení hotové</t>
        </is>
      </c>
    </row>
    <row r="13" ht="45" customHeight="1">
      <c r="A13" s="23" t="inlineStr">
        <is>
          <t>9</t>
        </is>
      </c>
      <c r="B13" s="24" t="n">
        <v>46359</v>
      </c>
      <c r="C13" s="25" t="n">
        <v>46365</v>
      </c>
      <c r="D13" s="26" t="inlineStr">
        <is>
          <t>DOKONČENO: dokument i prezentace</t>
        </is>
      </c>
      <c r="E13" s="23" t="inlineStr">
        <is>
          <t>#31 spojit dokument, kontrola minimálních požadavků, jednotný styl, obsah a zdroje; #30 slidy; #29 výkaz práce</t>
        </is>
      </c>
      <c r="F13" s="23" t="inlineStr">
        <is>
          <t>2–3 slidy + korektura cizí kapitoly</t>
        </is>
      </c>
      <c r="G13" s="23" t="inlineStr">
        <is>
          <t>2–3 slidy + korektura cizí kapitoly</t>
        </is>
      </c>
      <c r="H13" s="23" t="inlineStr">
        <is>
          <t>2–3 slidy + korektura cizí kapitoly</t>
        </is>
      </c>
      <c r="I13" s="23" t="inlineStr">
        <is>
          <t>2–3 slidy + korektura cizí kapitoly</t>
        </is>
      </c>
    </row>
    <row r="14" ht="71.25" customHeight="1">
      <c r="A14" s="23" t="inlineStr">
        <is>
          <t>10</t>
        </is>
      </c>
      <c r="B14" s="24" t="n">
        <v>46366</v>
      </c>
      <c r="C14" s="25" t="n">
        <v>46372</v>
      </c>
      <c r="D14" s="26" t="inlineStr">
        <is>
          <t>REZERVA</t>
        </is>
      </c>
      <c r="E14" s="23" t="inlineStr">
        <is>
          <t>Jen opravy a nácvik prezentace (cca 15 min s časomírou), otázky komise navzájem (#33); nahrát finální soubory z OneDrive na GitHub, přidat vyučující, tag v-odevzdani (#32)</t>
        </is>
      </c>
      <c r="F14" s="23" t="inlineStr">
        <is>
          <t>Rezerva</t>
        </is>
      </c>
      <c r="G14" s="23" t="inlineStr">
        <is>
          <t>Rezerva</t>
        </is>
      </c>
      <c r="H14" s="23" t="inlineStr">
        <is>
          <t>Rezerva</t>
        </is>
      </c>
      <c r="I14" s="23" t="inlineStr">
        <is>
          <t>Rezerva</t>
        </is>
      </c>
    </row>
    <row r="15" ht="30" customHeight="1">
      <c r="A15" s="11" t="inlineStr">
        <is>
          <t>–</t>
        </is>
      </c>
      <c r="B15" s="19" t="n">
        <v>46373</v>
      </c>
      <c r="C15" s="20" t="n">
        <v>46373</v>
      </c>
      <c r="D15" s="21" t="inlineStr">
        <is>
          <t>17.12. prezentace a odevzdání</t>
        </is>
      </c>
      <c r="E15" s="11" t="inlineStr">
        <is>
          <t>Prezentace a obhajoba</t>
        </is>
      </c>
      <c r="F15" s="11" t="n"/>
      <c r="G15" s="11" t="n"/>
      <c r="H15" s="11" t="n"/>
      <c r="I15" s="11" t="n"/>
    </row>
    <row r="16">
      <c r="A16" s="11" t="inlineStr">
        <is>
          <t>–</t>
        </is>
      </c>
      <c r="B16" s="19" t="n">
        <v>46374</v>
      </c>
      <c r="C16" s="20" t="n">
        <v>46393</v>
      </c>
      <c r="D16" s="21" t="inlineStr">
        <is>
          <t>6.1. zápočet</t>
        </is>
      </c>
      <c r="E16" s="11" t="inlineStr">
        <is>
          <t>Zapracovat připomínky komise</t>
        </is>
      </c>
      <c r="F16" s="11" t="n"/>
      <c r="G16" s="11" t="n"/>
      <c r="H16" s="11" t="n"/>
      <c r="I16" s="11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2026-10-09T09:10:03Z</dcterms:created>
  <dcterms:modified xmlns:dcterms="http://purl.org/dc/terms/" xmlns:xsi="http://www.w3.org/2001/XMLSchema-instance" xsi:type="dcterms:W3CDTF">2026-10-29T15:12:09Z</dcterms:modified>
  <cp:lastModifiedBy>Sabina Adámková</cp:lastModifiedBy>
  <cp:revision>0</cp:revision>
</cp:coreProperties>
</file>