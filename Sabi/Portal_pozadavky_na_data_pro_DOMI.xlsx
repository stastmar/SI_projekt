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 case → data" sheetId="1" state="visible" r:id="rId3"/>
    <sheet name="Navržené tabulky" sheetId="2" state="visible" r:id="rId4"/>
    <sheet name="Otázky k dohodě" sheetId="3" state="visible" r:id="rId5"/>
  </sheets>
  <definedNames>
    <definedName function="false" hidden="true" localSheetId="0" name="_xlnm._FilterDatabase" vbProcedure="false">'Use case → data'!$A$4:$I$23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<sst xmlns="http://schemas.openxmlformats.org/spreadsheetml/2006/main" count="261" uniqueCount="186">
  <si>
    <t xml:space="preserve">Webový portál (role 2) → požadavky na data pro WEB API + DB (role 3)</t>
  </si>
  <si>
    <t xml:space="preserve">Legenda: žlutá políčka (Stav dohody, Poznámka role 3) vyplňte společně na schůzce. Portál čte i zapisuje výhradně přes WEB API. Každé čtení zdravotních dat navíc zapisuje záznam do AuditLog.</t>
  </si>
  <si>
    <t xml:space="preserve">#</t>
  </si>
  <si>
    <t xml:space="preserve">Aktér</t>
  </si>
  <si>
    <t xml:space="preserve">Use case</t>
  </si>
  <si>
    <t xml:space="preserve">Čte (data)</t>
  </si>
  <si>
    <t xml:space="preserve">Zapisuje (data)</t>
  </si>
  <si>
    <t xml:space="preserve">Navržená tabulka</t>
  </si>
  <si>
    <t xml:space="preserve">Endpoint API</t>
  </si>
  <si>
    <t xml:space="preserve">Stav dohody</t>
  </si>
  <si>
    <t xml:space="preserve">Poznámka role 3</t>
  </si>
  <si>
    <t xml:space="preserve">Všichni</t>
  </si>
  <si>
    <t xml:space="preserve">Přihlásit se</t>
  </si>
  <si>
    <t xml:space="preserve">Uživatel: e-mail, hash hesla, role, aktivní</t>
  </si>
  <si>
    <t xml:space="preserve">Čas posledního přihlášení; AuditLog (přihlášení)</t>
  </si>
  <si>
    <t xml:space="preserve">Uzivatel, Role, AuditLog</t>
  </si>
  <si>
    <t xml:space="preserve">POST /auth/login</t>
  </si>
  <si>
    <t xml:space="preserve">Navrženo</t>
  </si>
  <si>
    <t xml:space="preserve">Ověřit identitu (dvoufaktorově) «include»</t>
  </si>
  <si>
    <t xml:space="preserve">Tajný klíč / telefon pro 2FA</t>
  </si>
  <si>
    <t xml:space="preserve">Ověřený token relace</t>
  </si>
  <si>
    <t xml:space="preserve">Uzivatel (mfa_tajny_klic, mfa_zapnuto)</t>
  </si>
  <si>
    <t xml:space="preserve">POST /auth/mfa/verify</t>
  </si>
  <si>
    <t xml:space="preserve">Pacient</t>
  </si>
  <si>
    <t xml:space="preserve">Zobrazit měření tlaku a pulsu</t>
  </si>
  <si>
    <t xml:space="preserve">Měření: SYS, DIA, puls, nepravidelný rytmus, čas, zdroj</t>
  </si>
  <si>
    <t xml:space="preserve">AuditLog</t>
  </si>
  <si>
    <t xml:space="preserve">MereniTlaku</t>
  </si>
  <si>
    <t xml:space="preserve">GET /pacienti/{id}/mereni?od=&amp;do=</t>
  </si>
  <si>
    <t xml:space="preserve">Zobrazit týdenní souhrn</t>
  </si>
  <si>
    <t xml:space="preserve">Průměr tlaku, kroky, počet energetických nápojů, dny se slaným jídlem za týden</t>
  </si>
  <si>
    <t xml:space="preserve">MereniTlaku, Aktivita, ZaznamZivotospravy (souhrn počítá API)</t>
  </si>
  <si>
    <t xml:space="preserve">GET /pacienti/{id}/souhrn?tyden=</t>
  </si>
  <si>
    <t xml:space="preserve">Pacient, Lékař</t>
  </si>
  <si>
    <t xml:space="preserve">Zobrazit graf tlaku, aktivity a životosprávy</t>
  </si>
  <si>
    <t xml:space="preserve">Měření, aktivita, záznamy životosprávy za období; limity pro vyznačení pásma</t>
  </si>
  <si>
    <t xml:space="preserve">MereniTlaku, Aktivita, ZaznamZivotospravy, LimitAlertu</t>
  </si>
  <si>
    <t xml:space="preserve">GET /pacienti/{id}/graf?od=&amp;do=</t>
  </si>
  <si>
    <t xml:space="preserve">Exportovat data (PDF/CSV)</t>
  </si>
  <si>
    <t xml:space="preserve">Totéž co graf + doporučení</t>
  </si>
  <si>
    <t xml:space="preserve">AuditLog (export)</t>
  </si>
  <si>
    <t xml:space="preserve">stejné jako graf + Doporuceni</t>
  </si>
  <si>
    <t xml:space="preserve">GET /pacienti/{id}/export?format=pdf|csv</t>
  </si>
  <si>
    <t xml:space="preserve">Číst doporučení lékaře</t>
  </si>
  <si>
    <t xml:space="preserve">Doporučení: text, kategorie, datum, lékař</t>
  </si>
  <si>
    <t xml:space="preserve">Příznak přečteno, čas přečtení</t>
  </si>
  <si>
    <t xml:space="preserve">Doporuceni</t>
  </si>
  <si>
    <t xml:space="preserve">GET /pacienti/{id}/doporuceni; PATCH /doporuceni/{id} (precteno)</t>
  </si>
  <si>
    <t xml:space="preserve">Lékař</t>
  </si>
  <si>
    <t xml:space="preserve">Zobrazit seznam pacientů podle rizika</t>
  </si>
  <si>
    <t xml:space="preserve">Přiřazení pacienti, otevřené alerty a jejich závažnost, poslední měření</t>
  </si>
  <si>
    <t xml:space="preserve">PacientLekar, Pacient, Alert, MereniTlaku</t>
  </si>
  <si>
    <t xml:space="preserve">GET /lekari/{id}/pacienti?razeni=riziko</t>
  </si>
  <si>
    <t xml:space="preserve">Zobrazit detail pacienta</t>
  </si>
  <si>
    <t xml:space="preserve">Údaje pacienta, limity, alerty, doporučení; «include» graf</t>
  </si>
  <si>
    <t xml:space="preserve">Pacient, LimitAlertu, Alert, Doporuceni</t>
  </si>
  <si>
    <t xml:space="preserve">GET /pacienti/{id}</t>
  </si>
  <si>
    <t xml:space="preserve">Nastavit cílový tlak a limity alertů</t>
  </si>
  <si>
    <t xml:space="preserve">Aktuální limity pacienta</t>
  </si>
  <si>
    <t xml:space="preserve">Cílový SYS/DIA, horní/dolní limit, urgentní limit, dny bez měření, kdo a kdy nastavil</t>
  </si>
  <si>
    <t xml:space="preserve">LimitAlertu</t>
  </si>
  <si>
    <t xml:space="preserve">GET / PUT /pacienti/{id}/limity</t>
  </si>
  <si>
    <t xml:space="preserve">Nastavit doporučený limit energetických nápojů «extend»</t>
  </si>
  <si>
    <t xml:space="preserve">Aktuální limit</t>
  </si>
  <si>
    <t xml:space="preserve">Max. počet energetických nápojů za týden</t>
  </si>
  <si>
    <t xml:space="preserve">LimitAlertu (sloupec max_energeticke_napoje_tyden)</t>
  </si>
  <si>
    <t xml:space="preserve">PUT /pacienti/{id}/limity</t>
  </si>
  <si>
    <t xml:space="preserve">Vyřešit alert</t>
  </si>
  <si>
    <t xml:space="preserve">Alert: typ, závažnost, čas, vyvolávající měření, stav</t>
  </si>
  <si>
    <t xml:space="preserve">Nový stav, kdo řešil, kdy, poznámka</t>
  </si>
  <si>
    <t xml:space="preserve">Alert</t>
  </si>
  <si>
    <t xml:space="preserve">GET /pacienti/{id}/alerty; PATCH /alerty/{id}</t>
  </si>
  <si>
    <t xml:space="preserve">Zapsat doporučení «extend» Vyřešit alert</t>
  </si>
  <si>
    <t xml:space="preserve">Předchozí doporučení</t>
  </si>
  <si>
    <t xml:space="preserve">Text, kategorie, datum, lékař, volitelně alert_id</t>
  </si>
  <si>
    <t xml:space="preserve">POST /pacienti/{id}/doporuceni</t>
  </si>
  <si>
    <t xml:space="preserve">Opravit záznam měření</t>
  </si>
  <si>
    <t xml:space="preserve">Původní záznam měření</t>
  </si>
  <si>
    <t xml:space="preserve">Nová hodnota v MereniTlaku + záznam do HistorieZmen</t>
  </si>
  <si>
    <t xml:space="preserve">MereniTlaku, HistorieZmen</t>
  </si>
  <si>
    <t xml:space="preserve">PATCH /mereni/{id}</t>
  </si>
  <si>
    <t xml:space="preserve">Uložit změnu do historie záznamu «include»</t>
  </si>
  <si>
    <t xml:space="preserve">—</t>
  </si>
  <si>
    <t xml:space="preserve">Tabulka, záznam, sloupec, stará a nová hodnota, kdo, kdy, důvod</t>
  </si>
  <si>
    <t xml:space="preserve">HistorieZmen</t>
  </si>
  <si>
    <t xml:space="preserve">(automaticky v rámci PATCH /mereni/{id})</t>
  </si>
  <si>
    <t xml:space="preserve">Administrátor</t>
  </si>
  <si>
    <t xml:space="preserve">Spravovat uživatelské účty</t>
  </si>
  <si>
    <t xml:space="preserve">Seznam uživatelů</t>
  </si>
  <si>
    <t xml:space="preserve">Nový / upravený / deaktivovaný účet</t>
  </si>
  <si>
    <t xml:space="preserve">Uzivatel, Pacient, Lekar</t>
  </si>
  <si>
    <t xml:space="preserve">GET / POST / PATCH /uzivatele</t>
  </si>
  <si>
    <t xml:space="preserve">Spravovat role a oprávnění</t>
  </si>
  <si>
    <t xml:space="preserve">Role a jejich oprávnění</t>
  </si>
  <si>
    <t xml:space="preserve">Přiřazení role uživateli</t>
  </si>
  <si>
    <t xml:space="preserve">Role (+ případně Opravneni)</t>
  </si>
  <si>
    <t xml:space="preserve">GET / PUT /uzivatele/{id}/role</t>
  </si>
  <si>
    <t xml:space="preserve">Přiřadit pacienta lékaři</t>
  </si>
  <si>
    <t xml:space="preserve">Pacienti, lékaři</t>
  </si>
  <si>
    <t xml:space="preserve">Vazba pacient × lékař (od kdy, aktivní)</t>
  </si>
  <si>
    <t xml:space="preserve">PacientLekar</t>
  </si>
  <si>
    <t xml:space="preserve">POST / DELETE /pacienti/{id}/lekari</t>
  </si>
  <si>
    <t xml:space="preserve">Zobrazit auditní log přístupů</t>
  </si>
  <si>
    <t xml:space="preserve">Kdo, kdy, k čím přistoupil, akce, IP</t>
  </si>
  <si>
    <t xml:space="preserve">GET /audit?uzivatel=&amp;pacient=&amp;od=&amp;do=</t>
  </si>
  <si>
    <t xml:space="preserve">Souhrn stavu dohody</t>
  </si>
  <si>
    <t xml:space="preserve">Odsouhlaseno</t>
  </si>
  <si>
    <t xml:space="preserve">Změnit</t>
  </si>
  <si>
    <t xml:space="preserve">Tabulky, které portál potřebuje (návrh pro ER diagram – finální podobu určuje role 3)</t>
  </si>
  <si>
    <t xml:space="preserve">Tabulka</t>
  </si>
  <si>
    <t xml:space="preserve">Sloupce (návrh)</t>
  </si>
  <si>
    <t xml:space="preserve">Účel</t>
  </si>
  <si>
    <t xml:space="preserve">Používá (use case #)</t>
  </si>
  <si>
    <t xml:space="preserve">Nová / už v plánu</t>
  </si>
  <si>
    <t xml:space="preserve">Uzivatel</t>
  </si>
  <si>
    <t xml:space="preserve">id (PK), email, hash_hesla, role_id (FK), mfa_zapnuto, mfa_tajny_klic, aktivni, posledni_prihlaseni</t>
  </si>
  <si>
    <t xml:space="preserve">Přihlášení všech uživatelů</t>
  </si>
  <si>
    <t xml:space="preserve">1, 2, 16, 17</t>
  </si>
  <si>
    <t xml:space="preserve">V plánu – doplnit sloupce pro 2FA</t>
  </si>
  <si>
    <t xml:space="preserve">Role</t>
  </si>
  <si>
    <t xml:space="preserve">id (PK), nazev (pacient / lekar / admin), popis, opravneni</t>
  </si>
  <si>
    <t xml:space="preserve">Řízení oprávnění podle matice</t>
  </si>
  <si>
    <t xml:space="preserve">1, 17</t>
  </si>
  <si>
    <t xml:space="preserve">V plánu</t>
  </si>
  <si>
    <t xml:space="preserve">id (PK), uzivatel_id (FK), jmeno, prijmeni, datum_narozeni, rodne_cislo / id_v_NIS</t>
  </si>
  <si>
    <t xml:space="preserve">Údaje pacienta</t>
  </si>
  <si>
    <t xml:space="preserve">8, 9, 16</t>
  </si>
  <si>
    <t xml:space="preserve">Lekar</t>
  </si>
  <si>
    <t xml:space="preserve">id (PK), uzivatel_id (FK), jmeno, prijmeni, specializace, icp</t>
  </si>
  <si>
    <t xml:space="preserve">Údaje lékaře</t>
  </si>
  <si>
    <t xml:space="preserve">8, 16</t>
  </si>
  <si>
    <t xml:space="preserve">pacient_id (FK), lekar_id (FK), od, do, aktivni</t>
  </si>
  <si>
    <t xml:space="preserve">Vazba M:N pacient × lékař</t>
  </si>
  <si>
    <t xml:space="preserve">8, 18</t>
  </si>
  <si>
    <t xml:space="preserve">Nová</t>
  </si>
  <si>
    <t xml:space="preserve">id (PK), pacient_id (FK), zarizeni_id (FK), systolicky, diastolicky, puls, nepravidelny_rytmus, cas_mereni, zdroj, opraveno, synchronizovano_nis</t>
  </si>
  <si>
    <t xml:space="preserve">Data pro tabulky, grafy, souhrny</t>
  </si>
  <si>
    <t xml:space="preserve">3–6, 8, 14</t>
  </si>
  <si>
    <t xml:space="preserve">V plánu – doplnit sloupec opraveno</t>
  </si>
  <si>
    <t xml:space="preserve">Aktivita</t>
  </si>
  <si>
    <t xml:space="preserve">id (PK), pacient_id (FK), datum, kroky, aktivni_minuty, zdroj</t>
  </si>
  <si>
    <t xml:space="preserve">Graf a souhrn</t>
  </si>
  <si>
    <t xml:space="preserve">4–6</t>
  </si>
  <si>
    <t xml:space="preserve">ZaznamZivotospravy</t>
  </si>
  <si>
    <t xml:space="preserve">id (PK), pacient_id (FK), typ, mnozstvi, cas_zaznamu, poznamka</t>
  </si>
  <si>
    <t xml:space="preserve">Graf a souhrn (sůl, energetické nápoje)</t>
  </si>
  <si>
    <t xml:space="preserve">id (PK), pacient_id (FK), cil_sys, cil_dia, horni_sys, horni_dia, dolni_sys, dolni_dia, urgentni_sys, urgentni_dia, dny_bez_mereni, max_energeticke_napoje_tyden, nastavil_lekar_id (FK), platne_od</t>
  </si>
  <si>
    <t xml:space="preserve">Individuální limity pacienta; historie = víc řádků s platne_od</t>
  </si>
  <si>
    <t xml:space="preserve">5, 9–11</t>
  </si>
  <si>
    <t xml:space="preserve">V plánu – doplnit sloupce</t>
  </si>
  <si>
    <t xml:space="preserve">id (PK), pacient_id (FK), mereni_id (FK, může být prázdné), typ, zavaznost, stav, vytvoreno, resil_lekar_id (FK), vyreseno, poznamka</t>
  </si>
  <si>
    <t xml:space="preserve">Seznam podle rizika, řešení alertů</t>
  </si>
  <si>
    <t xml:space="preserve">8, 9, 12</t>
  </si>
  <si>
    <t xml:space="preserve">V plánu – doplnit sloupce stavu</t>
  </si>
  <si>
    <t xml:space="preserve">id (PK), pacient_id (FK), lekar_id (FK), alert_id (FK, může být prázdné), kategorie, text, vytvoreno, precteno, precteno_kdy</t>
  </si>
  <si>
    <t xml:space="preserve">Doporučení lékaře (portál i aplikace)</t>
  </si>
  <si>
    <t xml:space="preserve">7, 9, 13</t>
  </si>
  <si>
    <t xml:space="preserve">V plánu – doplnit alert_id a precteno</t>
  </si>
  <si>
    <t xml:space="preserve">id (PK), tabulka, zaznam_id, sloupec, stara_hodnota, nova_hodnota, zmenil_uzivatel_id (FK), cas, duvod</t>
  </si>
  <si>
    <t xml:space="preserve">Dohledatelnost oprav zdravotních dat</t>
  </si>
  <si>
    <t xml:space="preserve">14, 15</t>
  </si>
  <si>
    <t xml:space="preserve">id (PK), uzivatel_id (FK), pacient_id (FK, může být prázdné), akce, endpoint, cas, ip_adresa</t>
  </si>
  <si>
    <t xml:space="preserve">Kdo si kdy prohlížel čí data (GDPR)</t>
  </si>
  <si>
    <t xml:space="preserve">1, 3–9, 19</t>
  </si>
  <si>
    <t xml:space="preserve">Otázky, které je potřeba rozhodnout s rolí 3 (případně s rolí 1 a 4)</t>
  </si>
  <si>
    <t xml:space="preserve">Otázka</t>
  </si>
  <si>
    <t xml:space="preserve">Koho se týká</t>
  </si>
  <si>
    <t xml:space="preserve">Návrh role 2</t>
  </si>
  <si>
    <t xml:space="preserve">Rozhodnutí</t>
  </si>
  <si>
    <t xml:space="preserve">Vytváří alerty API automaticky při příjmu měření?</t>
  </si>
  <si>
    <t xml:space="preserve">Role 3</t>
  </si>
  <si>
    <t xml:space="preserve">Ano – portál alerty jen zobrazuje a mění jejich stav</t>
  </si>
  <si>
    <t xml:space="preserve">Jsou výchozí limity (např. 135/85) uložené jako šablona, nebo má každý pacient vlastní řádek?</t>
  </si>
  <si>
    <t xml:space="preserve">Výchozí šablona + individuální řádek v LimitAlertu, když ho lékař změní</t>
  </si>
  <si>
    <t xml:space="preserve">Počítá týdenní souhrn API, nebo se ukládá do zvláštní tabulky?</t>
  </si>
  <si>
    <t xml:space="preserve">Počítá API při dotazu (méně tabulek)</t>
  </si>
  <si>
    <t xml:space="preserve">Posílá se opravená hodnota měření znovu do NIS?</t>
  </si>
  <si>
    <t xml:space="preserve">Role 3, role 4</t>
  </si>
  <si>
    <t xml:space="preserve">Ano – oprava nastaví synchronizovano_nis = false</t>
  </si>
  <si>
    <t xml:space="preserve">Zobrazuje se doporučení i v mobilní aplikaci a jak se pozná, že ho pacient přečetl?</t>
  </si>
  <si>
    <t xml:space="preserve">Role 1, role 3</t>
  </si>
  <si>
    <t xml:space="preserve">Ano – sloupec precteno se nastaví při otevření v aplikaci nebo v portálu</t>
  </si>
  <si>
    <t xml:space="preserve">Smí lékař mazat záznamy měření, nebo jen opravovat?</t>
  </si>
  <si>
    <t xml:space="preserve">Jen opravovat (s historií) – mazat jen administrátor s důvodem</t>
  </si>
  <si>
    <t xml:space="preserve">Zapisuje se do AuditLog i každé zobrazení grafu, nebo jen otevření detailu pacienta?</t>
  </si>
  <si>
    <t xml:space="preserve">Otevření detailu pacienta a export – stačí pro GDPR a nezahltí log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</si>
</sst>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36"/>
    <col collapsed="false" customWidth="true" hidden="false" outlineLevel="0" max="6" min="6" style="0" width="30"/>
    <col collapsed="false" customWidth="true" hidden="false" outlineLevel="0" max="7" min="7" style="0" width="34"/>
    <col collapsed="false" customWidth="true" hidden="false" outlineLevel="0" max="8" min="8" style="0" width="15"/>
    <col collapsed="false" customWidth="true" hidden="false" outlineLevel="0" max="9" min="9" style="0" width="28"/>
  </cols>
  <sheetData>
    <row r="1" customFormat="false" ht="17.3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6.85" hidden="false" customHeight="false" outlineLevel="0" collapsed="false">
      <c r="A5" s="4" t="n">
        <v>1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5" t="s">
        <v>17</v>
      </c>
      <c r="I5" s="5"/>
    </row>
    <row r="6" customFormat="false" ht="26.85" hidden="false" customHeight="false" outlineLevel="0" collapsed="false">
      <c r="A6" s="6" t="n">
        <v>2</v>
      </c>
      <c r="B6" s="6" t="s">
        <v>11</v>
      </c>
      <c r="C6" s="6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5" t="s">
        <v>17</v>
      </c>
      <c r="I6" s="5"/>
    </row>
    <row r="7" customFormat="false" ht="26.85" hidden="false" customHeight="false" outlineLevel="0" collapsed="false">
      <c r="A7" s="4" t="n">
        <v>3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27</v>
      </c>
      <c r="G7" s="4" t="s">
        <v>28</v>
      </c>
      <c r="H7" s="5" t="s">
        <v>17</v>
      </c>
      <c r="I7" s="5"/>
    </row>
    <row r="8" customFormat="false" ht="39.55" hidden="false" customHeight="false" outlineLevel="0" collapsed="false">
      <c r="A8" s="6" t="n">
        <v>4</v>
      </c>
      <c r="B8" s="6" t="s">
        <v>23</v>
      </c>
      <c r="C8" s="6" t="s">
        <v>29</v>
      </c>
      <c r="D8" s="6" t="s">
        <v>30</v>
      </c>
      <c r="E8" s="6" t="s">
        <v>26</v>
      </c>
      <c r="F8" s="6" t="s">
        <v>31</v>
      </c>
      <c r="G8" s="6" t="s">
        <v>32</v>
      </c>
      <c r="H8" s="5" t="s">
        <v>17</v>
      </c>
      <c r="I8" s="5"/>
    </row>
    <row r="9" customFormat="false" ht="39.55" hidden="false" customHeight="false" outlineLevel="0" collapsed="false">
      <c r="A9" s="4" t="n">
        <v>5</v>
      </c>
      <c r="B9" s="4" t="s">
        <v>33</v>
      </c>
      <c r="C9" s="4" t="s">
        <v>34</v>
      </c>
      <c r="D9" s="4" t="s">
        <v>35</v>
      </c>
      <c r="E9" s="4" t="s">
        <v>26</v>
      </c>
      <c r="F9" s="4" t="s">
        <v>36</v>
      </c>
      <c r="G9" s="4" t="s">
        <v>37</v>
      </c>
      <c r="H9" s="5" t="s">
        <v>17</v>
      </c>
      <c r="I9" s="5"/>
    </row>
    <row r="10" customFormat="false" ht="26.85" hidden="false" customHeight="false" outlineLevel="0" collapsed="false">
      <c r="A10" s="6" t="n">
        <v>6</v>
      </c>
      <c r="B10" s="6" t="s">
        <v>33</v>
      </c>
      <c r="C10" s="6" t="s">
        <v>38</v>
      </c>
      <c r="D10" s="6" t="s">
        <v>39</v>
      </c>
      <c r="E10" s="6" t="s">
        <v>40</v>
      </c>
      <c r="F10" s="6" t="s">
        <v>41</v>
      </c>
      <c r="G10" s="6" t="s">
        <v>42</v>
      </c>
      <c r="H10" s="5" t="s">
        <v>17</v>
      </c>
      <c r="I10" s="5"/>
    </row>
    <row r="11" customFormat="false" ht="26.85" hidden="false" customHeight="false" outlineLevel="0" collapsed="false">
      <c r="A11" s="4" t="n">
        <v>7</v>
      </c>
      <c r="B11" s="4" t="s">
        <v>23</v>
      </c>
      <c r="C11" s="4" t="s">
        <v>43</v>
      </c>
      <c r="D11" s="4" t="s">
        <v>44</v>
      </c>
      <c r="E11" s="4" t="s">
        <v>45</v>
      </c>
      <c r="F11" s="4" t="s">
        <v>46</v>
      </c>
      <c r="G11" s="4" t="s">
        <v>47</v>
      </c>
      <c r="H11" s="5" t="s">
        <v>17</v>
      </c>
      <c r="I11" s="5"/>
    </row>
    <row r="12" customFormat="false" ht="26.85" hidden="false" customHeight="false" outlineLevel="0" collapsed="false">
      <c r="A12" s="6" t="n">
        <v>8</v>
      </c>
      <c r="B12" s="6" t="s">
        <v>48</v>
      </c>
      <c r="C12" s="6" t="s">
        <v>49</v>
      </c>
      <c r="D12" s="6" t="s">
        <v>50</v>
      </c>
      <c r="E12" s="6" t="s">
        <v>26</v>
      </c>
      <c r="F12" s="6" t="s">
        <v>51</v>
      </c>
      <c r="G12" s="6" t="s">
        <v>52</v>
      </c>
      <c r="H12" s="5" t="s">
        <v>17</v>
      </c>
      <c r="I12" s="5"/>
    </row>
    <row r="13" customFormat="false" ht="26.85" hidden="false" customHeight="false" outlineLevel="0" collapsed="false">
      <c r="A13" s="4" t="n">
        <v>9</v>
      </c>
      <c r="B13" s="4" t="s">
        <v>48</v>
      </c>
      <c r="C13" s="4" t="s">
        <v>53</v>
      </c>
      <c r="D13" s="4" t="s">
        <v>54</v>
      </c>
      <c r="E13" s="4" t="s">
        <v>26</v>
      </c>
      <c r="F13" s="4" t="s">
        <v>55</v>
      </c>
      <c r="G13" s="4" t="s">
        <v>56</v>
      </c>
      <c r="H13" s="5" t="s">
        <v>17</v>
      </c>
      <c r="I13" s="5"/>
    </row>
    <row r="14" customFormat="false" ht="39.55" hidden="false" customHeight="false" outlineLevel="0" collapsed="false">
      <c r="A14" s="6" t="n">
        <v>10</v>
      </c>
      <c r="B14" s="6" t="s">
        <v>48</v>
      </c>
      <c r="C14" s="6" t="s">
        <v>57</v>
      </c>
      <c r="D14" s="6" t="s">
        <v>58</v>
      </c>
      <c r="E14" s="6" t="s">
        <v>59</v>
      </c>
      <c r="F14" s="6" t="s">
        <v>60</v>
      </c>
      <c r="G14" s="6" t="s">
        <v>61</v>
      </c>
      <c r="H14" s="5" t="s">
        <v>17</v>
      </c>
      <c r="I14" s="5"/>
    </row>
    <row r="15" customFormat="false" ht="39.55" hidden="false" customHeight="false" outlineLevel="0" collapsed="false">
      <c r="A15" s="4" t="n">
        <v>11</v>
      </c>
      <c r="B15" s="4" t="s">
        <v>48</v>
      </c>
      <c r="C15" s="4" t="s">
        <v>62</v>
      </c>
      <c r="D15" s="4" t="s">
        <v>63</v>
      </c>
      <c r="E15" s="4" t="s">
        <v>64</v>
      </c>
      <c r="F15" s="4" t="s">
        <v>65</v>
      </c>
      <c r="G15" s="4" t="s">
        <v>66</v>
      </c>
      <c r="H15" s="5" t="s">
        <v>17</v>
      </c>
      <c r="I15" s="5"/>
    </row>
    <row r="16" customFormat="false" ht="26.85" hidden="false" customHeight="false" outlineLevel="0" collapsed="false">
      <c r="A16" s="6" t="n">
        <v>12</v>
      </c>
      <c r="B16" s="6" t="s">
        <v>48</v>
      </c>
      <c r="C16" s="6" t="s">
        <v>67</v>
      </c>
      <c r="D16" s="6" t="s">
        <v>68</v>
      </c>
      <c r="E16" s="6" t="s">
        <v>69</v>
      </c>
      <c r="F16" s="6" t="s">
        <v>70</v>
      </c>
      <c r="G16" s="6" t="s">
        <v>71</v>
      </c>
      <c r="H16" s="5" t="s">
        <v>17</v>
      </c>
      <c r="I16" s="5"/>
    </row>
    <row r="17" customFormat="false" ht="26.85" hidden="false" customHeight="false" outlineLevel="0" collapsed="false">
      <c r="A17" s="4" t="n">
        <v>13</v>
      </c>
      <c r="B17" s="4" t="s">
        <v>48</v>
      </c>
      <c r="C17" s="4" t="s">
        <v>72</v>
      </c>
      <c r="D17" s="4" t="s">
        <v>73</v>
      </c>
      <c r="E17" s="4" t="s">
        <v>74</v>
      </c>
      <c r="F17" s="4" t="s">
        <v>46</v>
      </c>
      <c r="G17" s="4" t="s">
        <v>75</v>
      </c>
      <c r="H17" s="5" t="s">
        <v>17</v>
      </c>
      <c r="I17" s="5"/>
    </row>
    <row r="18" customFormat="false" ht="26.85" hidden="false" customHeight="false" outlineLevel="0" collapsed="false">
      <c r="A18" s="6" t="n">
        <v>14</v>
      </c>
      <c r="B18" s="6" t="s">
        <v>48</v>
      </c>
      <c r="C18" s="6" t="s">
        <v>76</v>
      </c>
      <c r="D18" s="6" t="s">
        <v>77</v>
      </c>
      <c r="E18" s="6" t="s">
        <v>78</v>
      </c>
      <c r="F18" s="6" t="s">
        <v>79</v>
      </c>
      <c r="G18" s="6" t="s">
        <v>80</v>
      </c>
      <c r="H18" s="5" t="s">
        <v>17</v>
      </c>
      <c r="I18" s="5"/>
    </row>
    <row r="19" customFormat="false" ht="26.85" hidden="false" customHeight="false" outlineLevel="0" collapsed="false">
      <c r="A19" s="4" t="n">
        <v>15</v>
      </c>
      <c r="B19" s="4" t="s">
        <v>48</v>
      </c>
      <c r="C19" s="4" t="s">
        <v>81</v>
      </c>
      <c r="D19" s="4" t="s">
        <v>82</v>
      </c>
      <c r="E19" s="4" t="s">
        <v>83</v>
      </c>
      <c r="F19" s="4" t="s">
        <v>84</v>
      </c>
      <c r="G19" s="4" t="s">
        <v>85</v>
      </c>
      <c r="H19" s="5" t="s">
        <v>17</v>
      </c>
      <c r="I19" s="5"/>
    </row>
    <row r="20" customFormat="false" ht="15" hidden="false" customHeight="false" outlineLevel="0" collapsed="false">
      <c r="A20" s="6" t="n">
        <v>16</v>
      </c>
      <c r="B20" s="6" t="s">
        <v>86</v>
      </c>
      <c r="C20" s="6" t="s">
        <v>87</v>
      </c>
      <c r="D20" s="6" t="s">
        <v>88</v>
      </c>
      <c r="E20" s="6" t="s">
        <v>89</v>
      </c>
      <c r="F20" s="6" t="s">
        <v>90</v>
      </c>
      <c r="G20" s="6" t="s">
        <v>91</v>
      </c>
      <c r="H20" s="5" t="s">
        <v>17</v>
      </c>
      <c r="I20" s="5"/>
    </row>
    <row r="21" customFormat="false" ht="15" hidden="false" customHeight="false" outlineLevel="0" collapsed="false">
      <c r="A21" s="4" t="n">
        <v>17</v>
      </c>
      <c r="B21" s="4" t="s">
        <v>86</v>
      </c>
      <c r="C21" s="4" t="s">
        <v>92</v>
      </c>
      <c r="D21" s="4" t="s">
        <v>93</v>
      </c>
      <c r="E21" s="4" t="s">
        <v>94</v>
      </c>
      <c r="F21" s="4" t="s">
        <v>95</v>
      </c>
      <c r="G21" s="4" t="s">
        <v>96</v>
      </c>
      <c r="H21" s="5" t="s">
        <v>17</v>
      </c>
      <c r="I21" s="5"/>
    </row>
    <row r="22" customFormat="false" ht="15" hidden="false" customHeight="false" outlineLevel="0" collapsed="false">
      <c r="A22" s="6" t="n">
        <v>18</v>
      </c>
      <c r="B22" s="6" t="s">
        <v>86</v>
      </c>
      <c r="C22" s="6" t="s">
        <v>97</v>
      </c>
      <c r="D22" s="6" t="s">
        <v>98</v>
      </c>
      <c r="E22" s="6" t="s">
        <v>99</v>
      </c>
      <c r="F22" s="6" t="s">
        <v>100</v>
      </c>
      <c r="G22" s="6" t="s">
        <v>101</v>
      </c>
      <c r="H22" s="5" t="s">
        <v>17</v>
      </c>
      <c r="I22" s="5"/>
    </row>
    <row r="23" customFormat="false" ht="26.85" hidden="false" customHeight="false" outlineLevel="0" collapsed="false">
      <c r="A23" s="4" t="n">
        <v>19</v>
      </c>
      <c r="B23" s="4" t="s">
        <v>86</v>
      </c>
      <c r="C23" s="4" t="s">
        <v>102</v>
      </c>
      <c r="D23" s="4" t="s">
        <v>103</v>
      </c>
      <c r="E23" s="4" t="s">
        <v>82</v>
      </c>
      <c r="F23" s="4" t="s">
        <v>26</v>
      </c>
      <c r="G23" s="4" t="s">
        <v>104</v>
      </c>
      <c r="H23" s="5" t="s">
        <v>17</v>
      </c>
      <c r="I23" s="5"/>
    </row>
    <row r="25" customFormat="false" ht="15" hidden="false" customHeight="false" outlineLevel="0" collapsed="false">
      <c r="C25" s="7" t="s">
        <v>105</v>
      </c>
    </row>
    <row r="26" customFormat="false" ht="15" hidden="false" customHeight="false" outlineLevel="0" collapsed="false">
      <c r="C26" s="8" t="s">
        <v>17</v>
      </c>
      <c r="D26" s="8" t="n">
        <f aca="false">COUNTIF($H$5:$H$23,C26)</f>
        <v>19</v>
      </c>
    </row>
    <row r="27" customFormat="false" ht="15" hidden="false" customHeight="false" outlineLevel="0" collapsed="false">
      <c r="C27" s="8" t="s">
        <v>106</v>
      </c>
      <c r="D27" s="8" t="n">
        <f aca="false">COUNTIF($H$5:$H$23,C27)</f>
        <v>0</v>
      </c>
    </row>
    <row r="28" customFormat="false" ht="15" hidden="false" customHeight="false" outlineLevel="0" collapsed="false">
      <c r="C28" s="8" t="s">
        <v>107</v>
      </c>
      <c r="D28" s="8" t="n">
        <f aca="false">COUNTIF($H$5:$H$23,C28)</f>
        <v>0</v>
      </c>
    </row>
  </sheetData>
  <autoFilter ref="A4:I23"/>
  <mergeCells count="1">
    <mergeCell ref="A2:I2"/>
  </mergeCells>
  <conditionalFormatting sqref="H5:H23">
    <cfRule type="cellIs" priority="2" operator="equal" aboveAverage="0" equalAverage="0" bottom="0" percent="0" rank="0" text="" dxfId="5">
      <formula>"Odsouhlaseno"</formula>
    </cfRule>
    <cfRule type="cellIs" priority="3" operator="equal" aboveAverage="0" equalAverage="0" bottom="0" percent="0" rank="0" text="" dxfId="6">
      <formula>"Změnit"</formula>
    </cfRule>
  </conditionalFormatting>
  <dataValidations count="1">
    <dataValidation allowBlank="true" errorStyle="stop" operator="between" showDropDown="false" showErrorMessage="false" showInputMessage="false" sqref="H5:H23" type="list">
      <formula1>"Navrženo,Odsouhlaseno,Změnit"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2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15"/>
    <col collapsed="false" customWidth="true" hidden="false" outlineLevel="0" max="7" min="7" style="0" width="28"/>
  </cols>
  <sheetData>
    <row r="1" customFormat="false" ht="17.35" hidden="false" customHeight="false" outlineLevel="0" collapsed="false">
      <c r="A1" s="1" t="s">
        <v>108</v>
      </c>
    </row>
    <row r="3" customFormat="false" ht="26.85" hidden="false" customHeight="false" outlineLevel="0" collapsed="false">
      <c r="A3" s="3" t="s">
        <v>109</v>
      </c>
      <c r="B3" s="3" t="s">
        <v>110</v>
      </c>
      <c r="C3" s="3" t="s">
        <v>111</v>
      </c>
      <c r="D3" s="3" t="s">
        <v>112</v>
      </c>
      <c r="E3" s="3" t="s">
        <v>113</v>
      </c>
      <c r="F3" s="3" t="s">
        <v>9</v>
      </c>
      <c r="G3" s="3" t="s">
        <v>10</v>
      </c>
    </row>
    <row r="4" customFormat="false" ht="26.85" hidden="false" customHeight="false" outlineLevel="0" collapsed="false">
      <c r="A4" s="9" t="s">
        <v>114</v>
      </c>
      <c r="B4" s="4" t="s">
        <v>115</v>
      </c>
      <c r="C4" s="4" t="s">
        <v>116</v>
      </c>
      <c r="D4" s="4" t="s">
        <v>117</v>
      </c>
      <c r="E4" s="4" t="s">
        <v>118</v>
      </c>
      <c r="F4" s="5" t="s">
        <v>17</v>
      </c>
      <c r="G4" s="5"/>
    </row>
    <row r="5" customFormat="false" ht="15" hidden="false" customHeight="false" outlineLevel="0" collapsed="false">
      <c r="A5" s="10" t="s">
        <v>119</v>
      </c>
      <c r="B5" s="6" t="s">
        <v>120</v>
      </c>
      <c r="C5" s="6" t="s">
        <v>121</v>
      </c>
      <c r="D5" s="6" t="s">
        <v>122</v>
      </c>
      <c r="E5" s="6" t="s">
        <v>123</v>
      </c>
      <c r="F5" s="5" t="s">
        <v>17</v>
      </c>
      <c r="G5" s="5"/>
    </row>
    <row r="6" customFormat="false" ht="26.85" hidden="false" customHeight="false" outlineLevel="0" collapsed="false">
      <c r="A6" s="9" t="s">
        <v>23</v>
      </c>
      <c r="B6" s="4" t="s">
        <v>124</v>
      </c>
      <c r="C6" s="4" t="s">
        <v>125</v>
      </c>
      <c r="D6" s="4" t="s">
        <v>126</v>
      </c>
      <c r="E6" s="4" t="s">
        <v>123</v>
      </c>
      <c r="F6" s="5" t="s">
        <v>17</v>
      </c>
      <c r="G6" s="5"/>
    </row>
    <row r="7" customFormat="false" ht="15" hidden="false" customHeight="false" outlineLevel="0" collapsed="false">
      <c r="A7" s="10" t="s">
        <v>127</v>
      </c>
      <c r="B7" s="6" t="s">
        <v>128</v>
      </c>
      <c r="C7" s="6" t="s">
        <v>129</v>
      </c>
      <c r="D7" s="6" t="s">
        <v>130</v>
      </c>
      <c r="E7" s="6" t="s">
        <v>123</v>
      </c>
      <c r="F7" s="5" t="s">
        <v>17</v>
      </c>
      <c r="G7" s="5"/>
    </row>
    <row r="8" customFormat="false" ht="15" hidden="false" customHeight="false" outlineLevel="0" collapsed="false">
      <c r="A8" s="9" t="s">
        <v>100</v>
      </c>
      <c r="B8" s="4" t="s">
        <v>131</v>
      </c>
      <c r="C8" s="4" t="s">
        <v>132</v>
      </c>
      <c r="D8" s="4" t="s">
        <v>133</v>
      </c>
      <c r="E8" s="4" t="s">
        <v>134</v>
      </c>
      <c r="F8" s="5" t="s">
        <v>17</v>
      </c>
      <c r="G8" s="5"/>
    </row>
    <row r="9" customFormat="false" ht="39.55" hidden="false" customHeight="false" outlineLevel="0" collapsed="false">
      <c r="A9" s="10" t="s">
        <v>27</v>
      </c>
      <c r="B9" s="6" t="s">
        <v>135</v>
      </c>
      <c r="C9" s="6" t="s">
        <v>136</v>
      </c>
      <c r="D9" s="6" t="s">
        <v>137</v>
      </c>
      <c r="E9" s="6" t="s">
        <v>138</v>
      </c>
      <c r="F9" s="5" t="s">
        <v>17</v>
      </c>
      <c r="G9" s="5"/>
    </row>
    <row r="10" customFormat="false" ht="15" hidden="false" customHeight="false" outlineLevel="0" collapsed="false">
      <c r="A10" s="9" t="s">
        <v>139</v>
      </c>
      <c r="B10" s="4" t="s">
        <v>140</v>
      </c>
      <c r="C10" s="4" t="s">
        <v>141</v>
      </c>
      <c r="D10" s="4" t="s">
        <v>142</v>
      </c>
      <c r="E10" s="4" t="s">
        <v>123</v>
      </c>
      <c r="F10" s="5" t="s">
        <v>17</v>
      </c>
      <c r="G10" s="5"/>
    </row>
    <row r="11" customFormat="false" ht="26.85" hidden="false" customHeight="false" outlineLevel="0" collapsed="false">
      <c r="A11" s="10" t="s">
        <v>143</v>
      </c>
      <c r="B11" s="6" t="s">
        <v>144</v>
      </c>
      <c r="C11" s="6" t="s">
        <v>145</v>
      </c>
      <c r="D11" s="6" t="s">
        <v>142</v>
      </c>
      <c r="E11" s="6" t="s">
        <v>123</v>
      </c>
      <c r="F11" s="5" t="s">
        <v>17</v>
      </c>
      <c r="G11" s="5"/>
    </row>
    <row r="12" customFormat="false" ht="39.55" hidden="false" customHeight="false" outlineLevel="0" collapsed="false">
      <c r="A12" s="9" t="s">
        <v>60</v>
      </c>
      <c r="B12" s="4" t="s">
        <v>146</v>
      </c>
      <c r="C12" s="4" t="s">
        <v>147</v>
      </c>
      <c r="D12" s="4" t="s">
        <v>148</v>
      </c>
      <c r="E12" s="4" t="s">
        <v>149</v>
      </c>
      <c r="F12" s="5" t="s">
        <v>17</v>
      </c>
      <c r="G12" s="5"/>
    </row>
    <row r="13" customFormat="false" ht="39.55" hidden="false" customHeight="false" outlineLevel="0" collapsed="false">
      <c r="A13" s="10" t="s">
        <v>70</v>
      </c>
      <c r="B13" s="6" t="s">
        <v>150</v>
      </c>
      <c r="C13" s="6" t="s">
        <v>151</v>
      </c>
      <c r="D13" s="6" t="s">
        <v>152</v>
      </c>
      <c r="E13" s="6" t="s">
        <v>153</v>
      </c>
      <c r="F13" s="5" t="s">
        <v>17</v>
      </c>
      <c r="G13" s="5"/>
    </row>
    <row r="14" customFormat="false" ht="26.85" hidden="false" customHeight="false" outlineLevel="0" collapsed="false">
      <c r="A14" s="9" t="s">
        <v>46</v>
      </c>
      <c r="B14" s="4" t="s">
        <v>154</v>
      </c>
      <c r="C14" s="4" t="s">
        <v>155</v>
      </c>
      <c r="D14" s="4" t="s">
        <v>156</v>
      </c>
      <c r="E14" s="4" t="s">
        <v>157</v>
      </c>
      <c r="F14" s="5" t="s">
        <v>17</v>
      </c>
      <c r="G14" s="5"/>
    </row>
    <row r="15" customFormat="false" ht="26.85" hidden="false" customHeight="false" outlineLevel="0" collapsed="false">
      <c r="A15" s="10" t="s">
        <v>84</v>
      </c>
      <c r="B15" s="6" t="s">
        <v>158</v>
      </c>
      <c r="C15" s="6" t="s">
        <v>159</v>
      </c>
      <c r="D15" s="6" t="s">
        <v>160</v>
      </c>
      <c r="E15" s="6" t="s">
        <v>134</v>
      </c>
      <c r="F15" s="5" t="s">
        <v>17</v>
      </c>
      <c r="G15" s="5"/>
    </row>
    <row r="16" customFormat="false" ht="26.85" hidden="false" customHeight="false" outlineLevel="0" collapsed="false">
      <c r="A16" s="9" t="s">
        <v>26</v>
      </c>
      <c r="B16" s="4" t="s">
        <v>161</v>
      </c>
      <c r="C16" s="4" t="s">
        <v>162</v>
      </c>
      <c r="D16" s="4" t="s">
        <v>163</v>
      </c>
      <c r="E16" s="4" t="s">
        <v>134</v>
      </c>
      <c r="F16" s="5" t="s">
        <v>17</v>
      </c>
      <c r="G16" s="5"/>
    </row>
  </sheetData>
  <conditionalFormatting sqref="F4:F16">
    <cfRule type="cellIs" priority="2" operator="equal" aboveAverage="0" equalAverage="0" bottom="0" percent="0" rank="0" text="" dxfId="5">
      <formula>"Odsouhlaseno"</formula>
    </cfRule>
    <cfRule type="cellIs" priority="3" operator="equal" aboveAverage="0" equalAverage="0" bottom="0" percent="0" rank="0" text="" dxfId="6">
      <formula>"Změnit"</formula>
    </cfRule>
  </conditionalFormatting>
  <dataValidations count="1">
    <dataValidation allowBlank="true" errorStyle="stop" operator="between" showDropDown="false" showErrorMessage="false" showInputMessage="false" sqref="F4:F16" type="list">
      <formula1>"Navrženo,Odsouhlaseno,Změnit"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0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164</v>
      </c>
    </row>
    <row r="3" customFormat="false" ht="15" hidden="false" customHeight="false" outlineLevel="0" collapsed="false">
      <c r="A3" s="3" t="s">
        <v>2</v>
      </c>
      <c r="B3" s="3" t="s">
        <v>165</v>
      </c>
      <c r="C3" s="3" t="s">
        <v>166</v>
      </c>
      <c r="D3" s="3" t="s">
        <v>167</v>
      </c>
      <c r="E3" s="3" t="s">
        <v>168</v>
      </c>
    </row>
    <row r="4" customFormat="false" ht="15" hidden="false" customHeight="false" outlineLevel="0" collapsed="false">
      <c r="A4" s="4" t="n">
        <v>1</v>
      </c>
      <c r="B4" s="4" t="s">
        <v>169</v>
      </c>
      <c r="C4" s="4" t="s">
        <v>170</v>
      </c>
      <c r="D4" s="4" t="s">
        <v>171</v>
      </c>
      <c r="E4" s="5"/>
    </row>
    <row r="5" customFormat="false" ht="26.85" hidden="false" customHeight="false" outlineLevel="0" collapsed="false">
      <c r="A5" s="4" t="n">
        <v>2</v>
      </c>
      <c r="B5" s="4" t="s">
        <v>172</v>
      </c>
      <c r="C5" s="4" t="s">
        <v>170</v>
      </c>
      <c r="D5" s="4" t="s">
        <v>173</v>
      </c>
      <c r="E5" s="5"/>
    </row>
    <row r="6" customFormat="false" ht="15" hidden="false" customHeight="false" outlineLevel="0" collapsed="false">
      <c r="A6" s="4" t="n">
        <v>3</v>
      </c>
      <c r="B6" s="4" t="s">
        <v>174</v>
      </c>
      <c r="C6" s="4" t="s">
        <v>170</v>
      </c>
      <c r="D6" s="4" t="s">
        <v>175</v>
      </c>
      <c r="E6" s="5"/>
    </row>
    <row r="7" customFormat="false" ht="15" hidden="false" customHeight="false" outlineLevel="0" collapsed="false">
      <c r="A7" s="4" t="n">
        <v>4</v>
      </c>
      <c r="B7" s="4" t="s">
        <v>176</v>
      </c>
      <c r="C7" s="4" t="s">
        <v>177</v>
      </c>
      <c r="D7" s="4" t="s">
        <v>178</v>
      </c>
      <c r="E7" s="5"/>
    </row>
    <row r="8" customFormat="false" ht="26.85" hidden="false" customHeight="false" outlineLevel="0" collapsed="false">
      <c r="A8" s="4" t="n">
        <v>5</v>
      </c>
      <c r="B8" s="4" t="s">
        <v>179</v>
      </c>
      <c r="C8" s="4" t="s">
        <v>180</v>
      </c>
      <c r="D8" s="4" t="s">
        <v>181</v>
      </c>
      <c r="E8" s="5"/>
    </row>
    <row r="9" customFormat="false" ht="26.85" hidden="false" customHeight="false" outlineLevel="0" collapsed="false">
      <c r="A9" s="4" t="n">
        <v>6</v>
      </c>
      <c r="B9" s="4" t="s">
        <v>182</v>
      </c>
      <c r="C9" s="4" t="s">
        <v>170</v>
      </c>
      <c r="D9" s="4" t="s">
        <v>183</v>
      </c>
      <c r="E9" s="5"/>
    </row>
    <row r="10" customFormat="false" ht="26.85" hidden="false" customHeight="false" outlineLevel="0" collapsed="false">
      <c r="A10" s="4" t="n">
        <v>7</v>
      </c>
      <c r="B10" s="4" t="s">
        <v>184</v>
      </c>
      <c r="C10" s="4" t="s">
        <v>170</v>
      </c>
      <c r="D10" s="4" t="s">
        <v>185</v>
      </c>
      <c r="E1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2026-10-09T09:52:48Z</dcterms:created>
  <dc:creator>openpyxl</dc:creator>
  <dc:description/>
  <dc:language>en-US</dc:language>
  <cp:lastModifiedBy/>
  <dcterms:modified xsi:type="dcterms:W3CDTF">2026-10-09T09:52:49Z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